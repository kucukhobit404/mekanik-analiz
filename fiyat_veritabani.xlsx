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ilver\Desktop\FiyatProgrami\"/>
    </mc:Choice>
  </mc:AlternateContent>
  <xr:revisionPtr revIDLastSave="0" documentId="13_ncr:1_{B43AEEFC-541A-4208-8BD1-EF61EDD7A85D}" xr6:coauthVersionLast="47" xr6:coauthVersionMax="47" xr10:uidLastSave="{00000000-0000-0000-0000-000000000000}"/>
  <bookViews>
    <workbookView xWindow="-108" yWindow="-108" windowWidth="23256" windowHeight="12456" firstSheet="14" activeTab="17" xr2:uid="{00000000-000D-0000-FFFF-FFFF00000000}"/>
  </bookViews>
  <sheets>
    <sheet name="CS BORU " sheetId="38" r:id="rId1"/>
    <sheet name="CONTA" sheetId="39" r:id="rId2"/>
    <sheet name="VİNÇ" sheetId="7" r:id="rId3"/>
    <sheet name="PENSTOCK" sheetId="33" r:id="rId4"/>
    <sheet name="POMPA" sheetId="9" r:id="rId5"/>
    <sheet name="IZGARA" sheetId="37" r:id="rId6"/>
    <sheet name="DEKANTÖR" sheetId="28" r:id="rId7"/>
    <sheet name="KONVEYÖR" sheetId="34" r:id="rId8"/>
    <sheet name="ENSTÜRMAN" sheetId="8" r:id="rId9"/>
    <sheet name="DEBİMETRE" sheetId="40" r:id="rId10"/>
    <sheet name="MİKSER" sheetId="18" r:id="rId11"/>
    <sheet name="MONOPUMP" sheetId="29" r:id="rId12"/>
    <sheet name="DOZAJ " sheetId="30" r:id="rId13"/>
    <sheet name="FAN" sheetId="10" r:id="rId14"/>
    <sheet name="SS BORU" sheetId="11" r:id="rId15"/>
    <sheet name="İMALAT" sheetId="5" r:id="rId16"/>
    <sheet name="SS-FLANŞ" sheetId="12" r:id="rId17"/>
    <sheet name="VANA" sheetId="13" r:id="rId18"/>
    <sheet name="PE TANK" sheetId="14" r:id="rId19"/>
    <sheet name="DİFÜZÖR" sheetId="17" r:id="rId20"/>
    <sheet name="KOMPANSATÖR" sheetId="19" r:id="rId21"/>
    <sheet name="KONTEYNER" sheetId="21" r:id="rId22"/>
    <sheet name="RÖMORK" sheetId="20" r:id="rId23"/>
    <sheet name="BLOWER" sheetId="22" r:id="rId24"/>
    <sheet name="DİSK FİLTRE" sheetId="23" r:id="rId25"/>
    <sheet name="UV" sheetId="25" r:id="rId26"/>
    <sheet name="KEP" sheetId="26" r:id="rId27"/>
    <sheet name="RAKOR" sheetId="27" r:id="rId28"/>
    <sheet name="UPVC" sheetId="32" r:id="rId29"/>
    <sheet name="SS-FİTTİNGS" sheetId="41" r:id="rId30"/>
  </sheets>
  <definedNames>
    <definedName name="_xlnm._FilterDatabase" localSheetId="0" hidden="1">'CS BORU '!$B$2:$J$68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8" l="1"/>
  <c r="K9" i="18"/>
  <c r="K10" i="18"/>
  <c r="K14" i="9" l="1"/>
  <c r="K13" i="9"/>
  <c r="K12" i="9"/>
  <c r="J10" i="32"/>
  <c r="J9" i="32"/>
  <c r="J8" i="32"/>
  <c r="J7" i="32"/>
  <c r="J6" i="32"/>
  <c r="J5" i="32"/>
  <c r="J4" i="32"/>
</calcChain>
</file>

<file path=xl/sharedStrings.xml><?xml version="1.0" encoding="utf-8"?>
<sst xmlns="http://schemas.openxmlformats.org/spreadsheetml/2006/main" count="2434" uniqueCount="477">
  <si>
    <t>Izgara Press 3kw</t>
  </si>
  <si>
    <t>Pergel Vinç 250kg</t>
  </si>
  <si>
    <t xml:space="preserve">Kum Ayırıcı 40m3/s 0,75kw </t>
  </si>
  <si>
    <t>Kum Tutucu Köprü 30x1x7,5m 2,2kw</t>
  </si>
  <si>
    <t>Pergel Vinç 500kg</t>
  </si>
  <si>
    <t>Sıyırıcı Köprü çap 27m 2,2Kw</t>
  </si>
  <si>
    <t>Birim Fiyat</t>
  </si>
  <si>
    <t>Keşif</t>
  </si>
  <si>
    <t>Adet</t>
  </si>
  <si>
    <t>Ölçü</t>
  </si>
  <si>
    <t>Tutar</t>
  </si>
  <si>
    <t>Yapılacak İşin Cinsi</t>
  </si>
  <si>
    <t>Sıra No</t>
  </si>
  <si>
    <t xml:space="preserve">UV Lambası 2 kanallı </t>
  </si>
  <si>
    <t xml:space="preserve">Ultrasonik Debimetre </t>
  </si>
  <si>
    <t>Poli Hazırlama Tank 1ton 0,75kw</t>
  </si>
  <si>
    <t>AD</t>
  </si>
  <si>
    <t>DN25 Konik Rakor</t>
  </si>
  <si>
    <t>DN350 SS304 KEP</t>
  </si>
  <si>
    <t>DN600 Oransal Motor Kumandalı Vana 0,75kw (Teleskopik Vana)</t>
  </si>
  <si>
    <t>ORP Sensör</t>
  </si>
  <si>
    <t>Nitrat Sensör</t>
  </si>
  <si>
    <t>pH Sensör</t>
  </si>
  <si>
    <t>TÜR</t>
  </si>
  <si>
    <t>İmalat</t>
  </si>
  <si>
    <t>Penstock</t>
  </si>
  <si>
    <t>Malzeme</t>
  </si>
  <si>
    <t>Monoray</t>
  </si>
  <si>
    <t>Izgara</t>
  </si>
  <si>
    <t>Pompa</t>
  </si>
  <si>
    <t>Numune Alma</t>
  </si>
  <si>
    <t>Pergel Vinç</t>
  </si>
  <si>
    <t>Kum Ayırıcı</t>
  </si>
  <si>
    <t>I.Press</t>
  </si>
  <si>
    <t>Köprü</t>
  </si>
  <si>
    <t>Kreyn</t>
  </si>
  <si>
    <t>Debimetre</t>
  </si>
  <si>
    <t>Teleskobik</t>
  </si>
  <si>
    <t>Poli Hazırlama</t>
  </si>
  <si>
    <t>UV</t>
  </si>
  <si>
    <t>Flanş</t>
  </si>
  <si>
    <t>SS304</t>
  </si>
  <si>
    <t>90 Dirsek</t>
  </si>
  <si>
    <t>45 Dirsek</t>
  </si>
  <si>
    <t>Rakor</t>
  </si>
  <si>
    <t>Kep</t>
  </si>
  <si>
    <t>O2</t>
  </si>
  <si>
    <t>Seviye</t>
  </si>
  <si>
    <t>ORP</t>
  </si>
  <si>
    <t>NO3</t>
  </si>
  <si>
    <t>Ph</t>
  </si>
  <si>
    <t>"</t>
  </si>
  <si>
    <t>ENELSAN</t>
  </si>
  <si>
    <r>
      <rPr>
        <sz val="7.5"/>
        <rFont val="Aroania"/>
        <family val="2"/>
      </rPr>
      <t>DN 50 WAFER KELEBEK VANA-SS304 KLAPELİ-PN10</t>
    </r>
  </si>
  <si>
    <r>
      <rPr>
        <sz val="7.5"/>
        <rFont val="Aroania"/>
        <family val="2"/>
      </rPr>
      <t>DN 100 BIÇAKLI SÜRGÜLÜ VANA-PN10</t>
    </r>
  </si>
  <si>
    <r>
      <rPr>
        <sz val="7.5"/>
        <rFont val="Aroania"/>
        <family val="2"/>
      </rPr>
      <t>DN 100 ÇALPARA ÇEKVALF-KARŞI AĞIRLIKLI-PN10/16</t>
    </r>
  </si>
  <si>
    <r>
      <rPr>
        <sz val="7.5"/>
        <rFont val="Aroania"/>
        <family val="2"/>
      </rPr>
      <t>DN 125 BIÇAKLI SÜRGÜLÜ VANA-PN10</t>
    </r>
  </si>
  <si>
    <r>
      <rPr>
        <sz val="7.5"/>
        <rFont val="Aroania"/>
        <family val="2"/>
      </rPr>
      <t>DN 125 ÇALPARA ÇEKVALF-KARŞI AĞIRLIKLI-PN10/16</t>
    </r>
  </si>
  <si>
    <r>
      <rPr>
        <sz val="7.5"/>
        <rFont val="Aroania"/>
        <family val="2"/>
      </rPr>
      <t>DN 200 BIÇAKLI SÜRGÜLÜ VANA-PN10</t>
    </r>
  </si>
  <si>
    <r>
      <rPr>
        <sz val="7.5"/>
        <rFont val="Aroania"/>
        <family val="2"/>
      </rPr>
      <t>DN 100 BIÇAKLI SÜRGÜLÜ VANA-AKT.UYUMLU-PN10</t>
    </r>
  </si>
  <si>
    <r>
      <rPr>
        <sz val="7.5"/>
        <rFont val="Aroania"/>
        <family val="2"/>
      </rPr>
      <t>DN 300 BIÇAKLI SÜRGÜLÜ VANA-AKT.UYUMLU-PN10</t>
    </r>
  </si>
  <si>
    <r>
      <rPr>
        <sz val="7.5"/>
        <rFont val="Aroania"/>
        <family val="2"/>
      </rPr>
      <t>DN 100 DEMONTAJ PARÇASI-PASLANMAZ SAPLAMALI-PN10</t>
    </r>
  </si>
  <si>
    <r>
      <rPr>
        <sz val="7.5"/>
        <rFont val="Aroania"/>
        <family val="2"/>
      </rPr>
      <t>DN 125 DEMONTAJ PARÇASI-PASLANMAZ SAPLAMALI-PN10</t>
    </r>
  </si>
  <si>
    <r>
      <rPr>
        <sz val="7.5"/>
        <rFont val="Aroania"/>
        <family val="2"/>
      </rPr>
      <t>DN 300 DEMONTAJ PARÇASI-PASLANMAZ SAPLAMALI-PN10</t>
    </r>
  </si>
  <si>
    <r>
      <rPr>
        <sz val="7.5"/>
        <rFont val="Aroania"/>
        <family val="2"/>
      </rPr>
      <t>DN 400 KELEBEK VANA-FLANŞLI-AKT.UYUMLU-PN10</t>
    </r>
  </si>
  <si>
    <r>
      <rPr>
        <sz val="7.5"/>
        <rFont val="Aroania"/>
        <family val="2"/>
      </rPr>
      <t>DN 400 DEMONTAJ PARÇASI-PASLANMAZ SAPLAMALI-PN10</t>
    </r>
  </si>
  <si>
    <r>
      <rPr>
        <sz val="7.5"/>
        <rFont val="Aroania"/>
        <family val="2"/>
      </rPr>
      <t>DN 300 BIÇAKLI SÜRGÜLÜ VANA İÇİN ELEK.AKTUATÖR</t>
    </r>
  </si>
  <si>
    <t>DN 65 BIÇAKLI SÜRGÜLÜ VANA-PN10</t>
  </si>
  <si>
    <t>DN 80 BIÇAKLI SÜRGÜLÜ VANA-PN10</t>
  </si>
  <si>
    <t>DN 25 KÜRESEL VANA 3 PARÇALI TG PN16</t>
  </si>
  <si>
    <t>DN 32 KÜRESEL VANA 3 PARÇALI TG PN16</t>
  </si>
  <si>
    <t>DN 100 WAFER KELEBEK VANA-SS304 KLAPELİ-PN10</t>
  </si>
  <si>
    <t>DN 400 DEMONTAJ PARÇASI-GALVANİZ SAPLAMALI-PN10</t>
  </si>
  <si>
    <t>DN 300 DEMONTAJ PARÇASI GALVANİZ SAPLAMALI-PN10</t>
  </si>
  <si>
    <t>DN 200 DEMONTAJ PARÇASI-GALVANİZ SAPLAMALI-PN10</t>
  </si>
  <si>
    <t>DN 125 DEMONTAJ PARÇASI-GALVANİZ SAPLAMALI-PN10</t>
  </si>
  <si>
    <t>DN 100 DEMONTAJ PARÇASI-GALVANİZ SAPLAMALI-PN10</t>
  </si>
  <si>
    <t>DN 80 ÇALPARA ÇEKVALF-KARŞI AĞIRLIKLI-PN10/16</t>
  </si>
  <si>
    <t>DN 80 WAFER KELEBEK VANA-SS304 KLAPELİ-PN10</t>
  </si>
  <si>
    <t>DN 200 KELEBEK VANA-FLANŞLI-PN10</t>
  </si>
  <si>
    <t>DN 100 KELEBEK VANA-FLANŞLI-PN10</t>
  </si>
  <si>
    <t>DN 100 KELEBEK VANA-FLANŞLI-AKTUATOR UYUMLU-PN16</t>
  </si>
  <si>
    <t xml:space="preserve">DN250 SÜRGÜLÜ VANA-F4-ELASTOMER YATAKLI-SFERO-PN10 </t>
  </si>
  <si>
    <t xml:space="preserve">DN500 KELEBEK VANA-FLANŞLI-PN10-AKT. UYUMLU </t>
  </si>
  <si>
    <t xml:space="preserve">DN300 KELEBEK VANA-FLANŞLI-PN10-AKT. UYUMLU </t>
  </si>
  <si>
    <t xml:space="preserve">DN500 ÇEKVALF-TİLTİNG-RRSS-PN10 </t>
  </si>
  <si>
    <t xml:space="preserve">DN450 KELEBEK VANA-FLANŞLI-PN10-AKT. UYUMLU </t>
  </si>
  <si>
    <t>BIÇAKLI SÜRGÜLÜ VANA İÇİN ELEK.AKTUATÖR</t>
  </si>
  <si>
    <t>KELEBEK VANA İÇİN ELEK.AKTUATÖR</t>
  </si>
  <si>
    <t>FAF</t>
  </si>
  <si>
    <t>DN 1000 KELEBEK VANA-FLANŞLI-AKTUATOR UYUMLU-PN16</t>
  </si>
  <si>
    <t xml:space="preserve">DN400 SÜRGÜLÜ VANA-F4-ELASTOMER YATAKLI-SFERO-PN10 </t>
  </si>
  <si>
    <t>DN100 SÜRGÜLÜ VANA-F4-ELASTOMER YATAKLI-SFERO-PN16</t>
  </si>
  <si>
    <t>DN150 SÜRGÜLÜ VANA-F4-ELASTOMER YATAKLI-SFERO-PN16</t>
  </si>
  <si>
    <t xml:space="preserve">DN300 KOMPANSATÖR- KAUÇUK- ÇELİK </t>
  </si>
  <si>
    <t xml:space="preserve">DN400 ÇEKVALF-TİLTİNG-RRSS-PN10 </t>
  </si>
  <si>
    <t>DN50 SÜRGÜLÜ VANA-F4-ELASTOMER YATAKLI-SFERO-PN16</t>
  </si>
  <si>
    <t>DN50 DİNAMİK VANTUZ-PN16</t>
  </si>
  <si>
    <t>DN 100 DEMONTAJ PARÇASI-PASLANMAZ SAPLAMALI-PN16</t>
  </si>
  <si>
    <t>DN 700 DEMONTAJ PARÇASI-PASLANMAZ SAPLAMALI-PN10</t>
  </si>
  <si>
    <t>DN 500 DEMONTAJ PARÇASI-PASLANMAZ SAPLAMALI-PN10</t>
  </si>
  <si>
    <t>Basınç Sınıfı</t>
  </si>
  <si>
    <t>Çap</t>
  </si>
  <si>
    <t>Tür</t>
  </si>
  <si>
    <t>DN50</t>
  </si>
  <si>
    <t>DN100</t>
  </si>
  <si>
    <t>DN80</t>
  </si>
  <si>
    <t>DN125</t>
  </si>
  <si>
    <t>DN200</t>
  </si>
  <si>
    <t>DN300</t>
  </si>
  <si>
    <t>DN400</t>
  </si>
  <si>
    <t>DN65</t>
  </si>
  <si>
    <t>DN25</t>
  </si>
  <si>
    <t>DN32</t>
  </si>
  <si>
    <t>DN250</t>
  </si>
  <si>
    <t>DN500</t>
  </si>
  <si>
    <t>DN600</t>
  </si>
  <si>
    <t>DN450</t>
  </si>
  <si>
    <t>DN1000</t>
  </si>
  <si>
    <t>DN150</t>
  </si>
  <si>
    <t>DN700</t>
  </si>
  <si>
    <t>BIÇAKLI SÜRGÜLÜ</t>
  </si>
  <si>
    <t>ÇALPARA ÇEKVALF</t>
  </si>
  <si>
    <t>DEMONTAJ PARÇASI</t>
  </si>
  <si>
    <t>SÜRGÜLÜ VANA</t>
  </si>
  <si>
    <t>KÜRESEL VANA</t>
  </si>
  <si>
    <t>ÇEKVALF-TİLTİNG</t>
  </si>
  <si>
    <t>KOMPANSATÖR- KAUÇUK</t>
  </si>
  <si>
    <t>DİNAMİK VANTUZ</t>
  </si>
  <si>
    <t>PN10</t>
  </si>
  <si>
    <t>PN10/16</t>
  </si>
  <si>
    <t>PN16</t>
  </si>
  <si>
    <t>DN 200 DEMONTAJ PARÇASI-PASLANMAZ SAPLAMALI-PN10</t>
  </si>
  <si>
    <t xml:space="preserve">DN250 DEMONTAJ PARÇASI-PASLANMAZ SAPLAMALI-PN10 </t>
  </si>
  <si>
    <t xml:space="preserve">DN450 DEMONTAJ PARÇASI-PASLANMAZ SAPLAMALI-PN10 </t>
  </si>
  <si>
    <t xml:space="preserve">DN600 DEMONTAJ PARÇASI-PASLANMAZ SAPLAMALI-PN10 </t>
  </si>
  <si>
    <t>DN1000 DEMONTAJ PARÇASI-PASLANMAZ SAPLAMALI-PN16</t>
  </si>
  <si>
    <t>SS316</t>
  </si>
  <si>
    <t>PN6</t>
  </si>
  <si>
    <t>Dikişli</t>
  </si>
  <si>
    <t>SS316L</t>
  </si>
  <si>
    <t xml:space="preserve">DN80 </t>
  </si>
  <si>
    <t>SCH10S</t>
  </si>
  <si>
    <t xml:space="preserve">DN150 </t>
  </si>
  <si>
    <t xml:space="preserve">DN125 </t>
  </si>
  <si>
    <t xml:space="preserve">DN100 </t>
  </si>
  <si>
    <t xml:space="preserve">DN50 </t>
  </si>
  <si>
    <t xml:space="preserve">DN32 </t>
  </si>
  <si>
    <t>BORŞEN</t>
  </si>
  <si>
    <t>DN100/80</t>
  </si>
  <si>
    <t>K.Redüksiyon</t>
  </si>
  <si>
    <t>DN150/125</t>
  </si>
  <si>
    <t>DN125/80</t>
  </si>
  <si>
    <t>BORU</t>
  </si>
  <si>
    <t>DİKİŞLİ</t>
  </si>
  <si>
    <t>CEPAŞ</t>
  </si>
  <si>
    <t xml:space="preserve">DN200 </t>
  </si>
  <si>
    <t>GÖKHAN PAS.</t>
  </si>
  <si>
    <t>KARACA PSL.</t>
  </si>
  <si>
    <t>SETAŞ</t>
  </si>
  <si>
    <t>YAVUZLAR</t>
  </si>
  <si>
    <t>Ayrık Tip -Kanal Tip</t>
  </si>
  <si>
    <t>Buzdolabı Tip - Tetiklemeli</t>
  </si>
  <si>
    <t>Kompakt</t>
  </si>
  <si>
    <t>Ayrık Tip</t>
  </si>
  <si>
    <t>Ultrasonik Seviye Sensörü</t>
  </si>
  <si>
    <t>Kompakt 0-8 mt.</t>
  </si>
  <si>
    <t>Kompakt 0-5 mt.</t>
  </si>
  <si>
    <t xml:space="preserve">O2 Sensör </t>
  </si>
  <si>
    <t>Çift Kanal-Dalma Tip</t>
  </si>
  <si>
    <t>Tek Kanal-Dalma Tip</t>
  </si>
  <si>
    <t>İletkenlik Sensör</t>
  </si>
  <si>
    <t>Çamur Battaniyesi</t>
  </si>
  <si>
    <t>Dalma Tip</t>
  </si>
  <si>
    <t>İletkenlik</t>
  </si>
  <si>
    <t>Flatör</t>
  </si>
  <si>
    <t>Dalma Tip 0-8 mt.</t>
  </si>
  <si>
    <t>Radar Seviye Ölçer</t>
  </si>
  <si>
    <t>0-5 mt.</t>
  </si>
  <si>
    <t xml:space="preserve">PVDF ,Class F,UHMWPE piston
PVDF cylinder,FPM Seals
Borosilicate valve
Dostec 40p
</t>
  </si>
  <si>
    <t xml:space="preserve">PP ,Class F,UHMWPE piston
PVDF cylinder,FPM Seals
Borosilicate valve
Dostec 40p
</t>
  </si>
  <si>
    <t>FLYGT</t>
  </si>
  <si>
    <t>NP3069.160 SH 272</t>
  </si>
  <si>
    <t>NT 3202.180 MT</t>
  </si>
  <si>
    <t>Debi</t>
  </si>
  <si>
    <t>HM</t>
  </si>
  <si>
    <t>GÜÇ</t>
  </si>
  <si>
    <t xml:space="preserve">Yağ Pompası </t>
  </si>
  <si>
    <t xml:space="preserve">Geri Devir Terfi Pompası </t>
  </si>
  <si>
    <t xml:space="preserve">Yağ-Köpük Pompası </t>
  </si>
  <si>
    <t xml:space="preserve">Drenaj Pompası </t>
  </si>
  <si>
    <t>İçsel Geri Devir Pompası</t>
  </si>
  <si>
    <t>DP3069.180 HT</t>
  </si>
  <si>
    <t>PP4660.412</t>
  </si>
  <si>
    <t>Özellik</t>
  </si>
  <si>
    <t>Pervane :316L
Çap:580mm</t>
  </si>
  <si>
    <t xml:space="preserve">SR4610.410 SJ </t>
  </si>
  <si>
    <t>Geri Devir Mikseri (Jet Halkalı)</t>
  </si>
  <si>
    <t>Giriş Yapısı Mikser</t>
  </si>
  <si>
    <t>SR4610.412 SF</t>
  </si>
  <si>
    <t>Dengeleme Tankı Mikseri</t>
  </si>
  <si>
    <t>SR4650.412 SF</t>
  </si>
  <si>
    <t>Havalandırma Havuzu Mikseri</t>
  </si>
  <si>
    <t>SR4430.010 SF</t>
  </si>
  <si>
    <t>Terfi Pompası</t>
  </si>
  <si>
    <t xml:space="preserve">NP 3202.180 LT </t>
  </si>
  <si>
    <t>Kum Pompası</t>
  </si>
  <si>
    <t xml:space="preserve">NP 3171.181 MT </t>
  </si>
  <si>
    <t>Besleme Pompası</t>
  </si>
  <si>
    <t xml:space="preserve">NP 3127.161 MT </t>
  </si>
  <si>
    <t>Anaerobik Mikseri</t>
  </si>
  <si>
    <t>SR4530.010 SF</t>
  </si>
  <si>
    <t>SS304 KLAPELİ</t>
  </si>
  <si>
    <t>AKTUATÖR UYUMLU</t>
  </si>
  <si>
    <t>FLANŞLI</t>
  </si>
  <si>
    <t>FLANŞLI-AKTUATÖR UYUMLU</t>
  </si>
  <si>
    <t>KARŞI AĞIRLIKLI</t>
  </si>
  <si>
    <t>TİLTİNG RRSS</t>
  </si>
  <si>
    <t>ELASTOMER YATAKLI-SFERO</t>
  </si>
  <si>
    <t>PASLANMAZ SAPLAMA</t>
  </si>
  <si>
    <t>GALVANİZ SAPLAMA</t>
  </si>
  <si>
    <t>3 PARÇALI TG</t>
  </si>
  <si>
    <t>KAUÇUK ÇELİK</t>
  </si>
  <si>
    <t>FLANŞLI-EL KUMANDALI</t>
  </si>
  <si>
    <t>UPVC</t>
  </si>
  <si>
    <t>KOİ Analizörü</t>
  </si>
  <si>
    <t>B7000İ 0-20000mg/l TOC 
Biotector Compressor 230L/set</t>
  </si>
  <si>
    <t>HACH</t>
  </si>
  <si>
    <t>AKM Ölçüm Seti</t>
  </si>
  <si>
    <t>Solitax</t>
  </si>
  <si>
    <t>SULZER</t>
  </si>
  <si>
    <t>XFP100E CB1.4 PE60/4 50HZ</t>
  </si>
  <si>
    <t>Pedestal ve Röle Dahil</t>
  </si>
  <si>
    <t>AS0631.128 S12/2 KFM 50HZ</t>
  </si>
  <si>
    <t>Kum Yağ-Köpük Pompası</t>
  </si>
  <si>
    <t>Çamur Geri Devir Pompası</t>
  </si>
  <si>
    <t>XFP80C CB1.4 PE29/4 50HZ</t>
  </si>
  <si>
    <t>SB 1623 A30/4 50HZ</t>
  </si>
  <si>
    <t>XRW3022 PA 15/6 50HZ</t>
  </si>
  <si>
    <t xml:space="preserve">Geri Devir Mikseri </t>
  </si>
  <si>
    <t>XRW3021 PA 15/6 50HZ</t>
  </si>
  <si>
    <t>Kapasite</t>
  </si>
  <si>
    <t xml:space="preserve">Monoray </t>
  </si>
  <si>
    <t>Kreyn (Çift Kiriş)</t>
  </si>
  <si>
    <t>AQUAFLEX</t>
  </si>
  <si>
    <t>9'' Disk Difüzör</t>
  </si>
  <si>
    <r>
      <rPr>
        <sz val="11"/>
        <color theme="1"/>
        <rFont val="Aptos Narrow"/>
        <family val="2"/>
      </rPr>
      <t>Ø</t>
    </r>
    <r>
      <rPr>
        <sz val="11"/>
        <color theme="1"/>
        <rFont val="Calibri"/>
        <family val="2"/>
      </rPr>
      <t>63 Priz Kolye</t>
    </r>
  </si>
  <si>
    <t>Paslanmaz Civata Somunlu</t>
  </si>
  <si>
    <t>Ayarlanabilir Hareketli</t>
  </si>
  <si>
    <t>Ø63 Kelepçe</t>
  </si>
  <si>
    <t>ARTES</t>
  </si>
  <si>
    <t>DOĞUŞ</t>
  </si>
  <si>
    <t>WİLO</t>
  </si>
  <si>
    <t>7,5KW</t>
  </si>
  <si>
    <t>XSB 2533 LX PA75/4 50 HZ</t>
  </si>
  <si>
    <t>1,4KW</t>
  </si>
  <si>
    <t>SB1622 A14/4 50HZ</t>
  </si>
  <si>
    <t>1,5KW</t>
  </si>
  <si>
    <t>3KW</t>
  </si>
  <si>
    <t xml:space="preserve">DALGIÇ MİKSER </t>
  </si>
  <si>
    <t>4,5KW</t>
  </si>
  <si>
    <t>TURBO BLOWER</t>
  </si>
  <si>
    <t>PANO DAHİL</t>
  </si>
  <si>
    <t>BİOLAND</t>
  </si>
  <si>
    <t>Kapak Genişlik</t>
  </si>
  <si>
    <t>Kapak Yükseklik</t>
  </si>
  <si>
    <t>Malzeme Adı</t>
  </si>
  <si>
    <t>Motor Gücü</t>
  </si>
  <si>
    <t>Mil Türü</t>
  </si>
  <si>
    <t>TEK</t>
  </si>
  <si>
    <t>ÇİFT</t>
  </si>
  <si>
    <t>Malzeme Cinsi</t>
  </si>
  <si>
    <t>Konveyör Türü</t>
  </si>
  <si>
    <t>Band</t>
  </si>
  <si>
    <t>Burgulu</t>
  </si>
  <si>
    <t>Açılı</t>
  </si>
  <si>
    <t>Kiriş Tipi</t>
  </si>
  <si>
    <t>Tek Kiriş</t>
  </si>
  <si>
    <t>Çift Kiriş</t>
  </si>
  <si>
    <t xml:space="preserve">Pompa Türü </t>
  </si>
  <si>
    <t>Dalgıç</t>
  </si>
  <si>
    <t>Pervane Çapı</t>
  </si>
  <si>
    <t>Pervane Malzemesi</t>
  </si>
  <si>
    <t>Gövde Malzemesi</t>
  </si>
  <si>
    <t>Kanat Sayısı</t>
  </si>
  <si>
    <t>KAPASİTE</t>
  </si>
  <si>
    <t>BAR</t>
  </si>
  <si>
    <t>DDE 4042</t>
  </si>
  <si>
    <t>MODEL</t>
  </si>
  <si>
    <t>ÖZELLİK</t>
  </si>
  <si>
    <t>DDE 5342</t>
  </si>
  <si>
    <t>HAUS</t>
  </si>
  <si>
    <t xml:space="preserve">DEKANTÖR </t>
  </si>
  <si>
    <t>Pompa Gövdesi</t>
  </si>
  <si>
    <t>Rotor</t>
  </si>
  <si>
    <t>Stator</t>
  </si>
  <si>
    <t>Sızdırmazlık</t>
  </si>
  <si>
    <t>Döküm</t>
  </si>
  <si>
    <t>C45 DÜKTİL</t>
  </si>
  <si>
    <t>NBR</t>
  </si>
  <si>
    <t>Mekanik Salmastra</t>
  </si>
  <si>
    <t>Güç</t>
  </si>
  <si>
    <t xml:space="preserve">Poli Monopump </t>
  </si>
  <si>
    <t xml:space="preserve">Çamur Monopump </t>
  </si>
  <si>
    <t>ROOTS TİP BLOWER</t>
  </si>
  <si>
    <t>HM (mbar)</t>
  </si>
  <si>
    <t>KAPASİTE (m3/h)</t>
  </si>
  <si>
    <t>Pozitif Deplasmanlı</t>
  </si>
  <si>
    <t>Manyetik Yataklı</t>
  </si>
  <si>
    <t>211mm</t>
  </si>
  <si>
    <t>368mm</t>
  </si>
  <si>
    <t>580mm</t>
  </si>
  <si>
    <t>2500mm</t>
  </si>
  <si>
    <t>1200mm</t>
  </si>
  <si>
    <t>1600mm</t>
  </si>
  <si>
    <t>300mm</t>
  </si>
  <si>
    <t>316L</t>
  </si>
  <si>
    <t>Poliüretan, GG25 Dökme Demir</t>
  </si>
  <si>
    <t>316L, GG25 Dökme Demir</t>
  </si>
  <si>
    <t>Poliüretan, GG40 Dökme Demir</t>
  </si>
  <si>
    <t>DAP</t>
  </si>
  <si>
    <t>ASİT</t>
  </si>
  <si>
    <t>FeCl3</t>
  </si>
  <si>
    <t>PAC</t>
  </si>
  <si>
    <t>BN 2-6L Mono Pompa</t>
  </si>
  <si>
    <t>1.4404 / AISI 316L</t>
  </si>
  <si>
    <t>1.0503 (C45) / AISI 1045</t>
  </si>
  <si>
    <t>BN 1-6L Mono Pompa</t>
  </si>
  <si>
    <t>BN17-6L Mono Pompa</t>
  </si>
  <si>
    <t>PEDRO GIL BLOWER  BPG85-V DN150</t>
  </si>
  <si>
    <t>PEDRO GIL BLOWER BPG25-V DN65</t>
  </si>
  <si>
    <t>DURKO</t>
  </si>
  <si>
    <t>İDEAL MAKİNA</t>
  </si>
  <si>
    <t>SİSDOZ</t>
  </si>
  <si>
    <t>UKA BLOWER</t>
  </si>
  <si>
    <t>ZENİT</t>
  </si>
  <si>
    <t>Ana Besleme Pompa</t>
  </si>
  <si>
    <t>XFP80C CB1.2 PE29/4 50 HZ</t>
  </si>
  <si>
    <t>AS0830.130 S13/4 KFM 50 HZ</t>
  </si>
  <si>
    <t>Geri Devir Pompa</t>
  </si>
  <si>
    <t>XFP80C CB1.3 PE22/4 50 HZ</t>
  </si>
  <si>
    <t>XFP155J CB2 PE300/4 50 HZ PE3</t>
  </si>
  <si>
    <t>AS0530.110 S12/2 KFM 50 HZ</t>
  </si>
  <si>
    <t>AS0630.186 S13/4 KFM 50 HZ</t>
  </si>
  <si>
    <t>Dengeleme Havuzu Terfi Pompa</t>
  </si>
  <si>
    <t>Yağ Pompa</t>
  </si>
  <si>
    <t>Kum Pompa</t>
  </si>
  <si>
    <t>Terfi Pompa</t>
  </si>
  <si>
    <t>XFP100G CB1.3 PE160/4 50 HZ</t>
  </si>
  <si>
    <t>Kimyasal Çökeltim Çamur Pompa</t>
  </si>
  <si>
    <t>AS0631.142 S17/2 KFM 50 HZ</t>
  </si>
  <si>
    <t>XFP100E CB1.1 PE90/4 50 HZ</t>
  </si>
  <si>
    <t>Fazla Çamur Pompa</t>
  </si>
  <si>
    <t>XFP80C CB1.3 PE29/4 50 HZ</t>
  </si>
  <si>
    <t>RCP2534 A28/6 CR 50 HZ</t>
  </si>
  <si>
    <t>Mytho D1 Dozaj Pompası 155l/h - 7 bar</t>
  </si>
  <si>
    <t>Mytho D1 Dozaj Pompası 220l/h - 7 bar</t>
  </si>
  <si>
    <t>Mytho D1 Dozaj Pompası 310l/h - 7 bar</t>
  </si>
  <si>
    <t>Dekantör Besleme Pompa</t>
  </si>
  <si>
    <t>DM 012K2</t>
  </si>
  <si>
    <t xml:space="preserve">AISI 420B / W. 1.4028 </t>
  </si>
  <si>
    <t>ETA</t>
  </si>
  <si>
    <t>BK015-1L G5 Monopomp</t>
  </si>
  <si>
    <t>DOSEURO D100N70 C Dozaj Pompası 146l/h - 5 bar</t>
  </si>
  <si>
    <t>DOSEURO D101n-90 C Dozaj Pompası 217l/h - 5 bar</t>
  </si>
  <si>
    <t>DOSEURO D101N-105 C Dozaj Pompası 292l/h - 4 bar</t>
  </si>
  <si>
    <t>BK039-1L G5 Monopomp</t>
  </si>
  <si>
    <t>BN 10-6L MONO POMPA</t>
  </si>
  <si>
    <t>BN 17-6L MONO POMPA</t>
  </si>
  <si>
    <t>BN 025-12 MONO POMPA</t>
  </si>
  <si>
    <t>FPZ SCK E07 MS 5,5 KW SANT. BLOWER</t>
  </si>
  <si>
    <t>PEDRO GIL BPG 106 BLOWER</t>
  </si>
  <si>
    <t>ETATRON DİYAFRAMLI DOZAJ POMPA 158-8 PVDF  158l/h - 8 bar</t>
  </si>
  <si>
    <t>ETATRON DİYAFRAMLI DOZAJ POMPA 158-8 AISI                   158l/h - 8 bar</t>
  </si>
  <si>
    <t>ETATRON DİYAFRAMLI DOZ. POMPA 257-6 200l/h - 3-5 bar</t>
  </si>
  <si>
    <t>ETATRON DİYAFRAMLI DOZ. POMPA 300-5 300l/h - 2-3 bar</t>
  </si>
  <si>
    <t>Dengeleme Terfi Pompa</t>
  </si>
  <si>
    <t>XFP100E CB1.3 PE60/4 50 HZ</t>
  </si>
  <si>
    <t>Kimyasal Çamur Pompa</t>
  </si>
  <si>
    <t>AS0530.142 S26/2 KFM 50 HZ</t>
  </si>
  <si>
    <t>Kimyasal Köpük Pompa</t>
  </si>
  <si>
    <t>Biyolojik Çamur Pompa</t>
  </si>
  <si>
    <t>XFP100E CB1.4 PE60/4 50 HZ</t>
  </si>
  <si>
    <t>AS0641.143 S30/2 KFM 50 HZ</t>
  </si>
  <si>
    <t>İnce Izgara</t>
  </si>
  <si>
    <t>Izgara Aralık (mm)</t>
  </si>
  <si>
    <t>Kanal Genişlik (mm)</t>
  </si>
  <si>
    <t>Kaba Izgara</t>
  </si>
  <si>
    <t>Basınç</t>
  </si>
  <si>
    <t>Marka</t>
  </si>
  <si>
    <t>DOSTEC</t>
  </si>
  <si>
    <t>ETATRON</t>
  </si>
  <si>
    <t>MYTHO</t>
  </si>
  <si>
    <t>DOSEURO</t>
  </si>
  <si>
    <t>DN1400</t>
  </si>
  <si>
    <t>ST44</t>
  </si>
  <si>
    <t>İÇ KAPLAMA</t>
  </si>
  <si>
    <t>DIŞ KAPLAMA</t>
  </si>
  <si>
    <t>PE</t>
  </si>
  <si>
    <t>EPOKSİ</t>
  </si>
  <si>
    <t>ÇIPLAK</t>
  </si>
  <si>
    <t>VİMSA</t>
  </si>
  <si>
    <t>ÖZKAN</t>
  </si>
  <si>
    <t>Çelik Takviyeli</t>
  </si>
  <si>
    <t>Standart</t>
  </si>
  <si>
    <t>3mm</t>
  </si>
  <si>
    <t>EPDM</t>
  </si>
  <si>
    <t>ÇUKUROVA</t>
  </si>
  <si>
    <t>OCT BORU</t>
  </si>
  <si>
    <t>TEKBOR</t>
  </si>
  <si>
    <t>Malzeme Kodu</t>
  </si>
  <si>
    <t>Tarih</t>
  </si>
  <si>
    <t>FİYAT</t>
  </si>
  <si>
    <t>Fiyat</t>
  </si>
  <si>
    <t>Batı Conta</t>
  </si>
  <si>
    <t>Emek Conta</t>
  </si>
  <si>
    <t>Bioland</t>
  </si>
  <si>
    <t>Artes</t>
  </si>
  <si>
    <t>Cins</t>
  </si>
  <si>
    <t>CS BORU</t>
  </si>
  <si>
    <t>Conta</t>
  </si>
  <si>
    <t>Vinç</t>
  </si>
  <si>
    <t>Doğan Vinç</t>
  </si>
  <si>
    <t>Konveyör</t>
  </si>
  <si>
    <t>Uzunluk (mm)</t>
  </si>
  <si>
    <t>Genişlik (mm)</t>
  </si>
  <si>
    <t>KALINLIK (mm)</t>
  </si>
  <si>
    <t>Kapasite (TON)</t>
  </si>
  <si>
    <t>Kaldırma Yüksekliği (mt.)</t>
  </si>
  <si>
    <t>Aks Açıklığı (mt.)</t>
  </si>
  <si>
    <t>Hol Boyu (mt.)</t>
  </si>
  <si>
    <t>Kolon Mesafe (mt.)</t>
  </si>
  <si>
    <t>I Profil Boyu (mt.)</t>
  </si>
  <si>
    <t>Perfore Izgara</t>
  </si>
  <si>
    <t>Motor Gücü (Kw)</t>
  </si>
  <si>
    <t>Izgara Uzunluk (mm)</t>
  </si>
  <si>
    <t xml:space="preserve">Cins </t>
  </si>
  <si>
    <t>Enelsan</t>
  </si>
  <si>
    <t>E+H</t>
  </si>
  <si>
    <t>DN800</t>
  </si>
  <si>
    <t>Mikser</t>
  </si>
  <si>
    <t>8KW</t>
  </si>
  <si>
    <t>GEA</t>
  </si>
  <si>
    <t>POLAT MAKİNA</t>
  </si>
  <si>
    <t>GÜÇ (Kw)</t>
  </si>
  <si>
    <t xml:space="preserve">Numune Alma Cihazı </t>
  </si>
  <si>
    <t>ORION</t>
  </si>
  <si>
    <t>Çamur Battaniye</t>
  </si>
  <si>
    <t>KOİ</t>
  </si>
  <si>
    <t>AKM</t>
  </si>
  <si>
    <t>Monopump</t>
  </si>
  <si>
    <t>SEEPEX</t>
  </si>
  <si>
    <t>AQUAPROSES</t>
  </si>
  <si>
    <t>DOZAJ</t>
  </si>
  <si>
    <t xml:space="preserve">H2SO4 Dozaj Pompası </t>
  </si>
  <si>
    <t xml:space="preserve">NaCl Dozaj Pompası </t>
  </si>
  <si>
    <t xml:space="preserve">FeCl3 Dozaj Pompası </t>
  </si>
  <si>
    <t xml:space="preserve">Klor Dozaj Pompası </t>
  </si>
  <si>
    <t xml:space="preserve">Etatron Diyaframlı Dozaj Pompası </t>
  </si>
  <si>
    <t>SS 316L BORU</t>
  </si>
  <si>
    <t>GÖKHAN PASLANMAZ</t>
  </si>
  <si>
    <t>SS 304 BORU</t>
  </si>
  <si>
    <t>FLANŞ</t>
  </si>
  <si>
    <t>KARACA</t>
  </si>
  <si>
    <t xml:space="preserve"> PP/EPDM</t>
  </si>
  <si>
    <t>ADD230</t>
  </si>
  <si>
    <t>DİFÜZÖR</t>
  </si>
  <si>
    <t>PRİZ KOLYE</t>
  </si>
  <si>
    <t>KELEPÇE</t>
  </si>
  <si>
    <t>BLOWER</t>
  </si>
  <si>
    <t>DOĞUŞSAN</t>
  </si>
  <si>
    <t>Güç (kW)</t>
  </si>
  <si>
    <t>Debi (m3/h)</t>
  </si>
  <si>
    <t>Basınç (bar)</t>
  </si>
  <si>
    <t>Filtre Çapı (mikron)</t>
  </si>
  <si>
    <t>KELEBEK</t>
  </si>
  <si>
    <t xml:space="preserve">WAFER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</si>
</sst>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4" formatCode="_-&quot;₺&quot;* #,##0.00_-;\-&quot;₺&quot;* #,##0.00_-;_-&quot;₺&quot;* &quot;-&quot;??_-;_-@_-"/>
    <numFmt numFmtId="164" formatCode="0.0"/>
    <numFmt numFmtId="165" formatCode="_-[$$-409]* #,##0.00_ ;_-[$$-409]* \-#,##0.00\ ;_-[$$-409]* &quot;-&quot;??_ ;_-@_ "/>
    <numFmt numFmtId="166" formatCode="_-[$€-2]\ * #,##0.00_-;\-[$€-2]\ * #,##0.00_-;_-[$€-2]\ * &quot;-&quot;??_-;_-@_-"/>
    <numFmt numFmtId="167" formatCode="\$\ 0.00"/>
    <numFmt numFmtId="168" formatCode="\$\ #,##0.00"/>
    <numFmt numFmtId="169" formatCode="\€\ 0.00"/>
    <numFmt numFmtId="170" formatCode="\€\ #,##0.00"/>
    <numFmt numFmtId="171" formatCode="General\ &quot;mm&quot;"/>
    <numFmt numFmtId="172" formatCode="General\ &quot;kW&quot;"/>
    <numFmt numFmtId="173" formatCode="General\ &quot;mSS&quot;"/>
    <numFmt numFmtId="174" formatCode="General\ &quot;m3/h&quot;"/>
    <numFmt numFmtId="175" formatCode="General\ &quot;TON&quot;"/>
    <numFmt numFmtId="176" formatCode="General\ &quot;m&quot;"/>
    <numFmt numFmtId="177" formatCode="[$$-409]#,##0.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7.5"/>
      <name val="Aroania"/>
    </font>
    <font>
      <sz val="7.5"/>
      <name val="Aroania"/>
      <family val="2"/>
    </font>
    <font>
      <sz val="8"/>
      <color rgb="FF000000"/>
      <name val="Aroania"/>
      <family val="2"/>
    </font>
    <font>
      <sz val="11"/>
      <color theme="1"/>
      <name val="Aptos Narrow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  <charset val="162"/>
    </font>
    <font>
      <b/>
      <sz val="9"/>
      <name val="Arial"/>
      <family val="2"/>
      <charset val="162"/>
    </font>
    <font>
      <sz val="9"/>
      <name val="Arial"/>
      <family val="2"/>
      <charset val="162"/>
    </font>
    <font>
      <sz val="9"/>
      <color theme="1"/>
      <name val="Arial"/>
      <family val="2"/>
      <charset val="16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94">
    <xf numFmtId="0" fontId="0" fillId="0" borderId="0" xfId="0"/>
    <xf numFmtId="0" fontId="0" fillId="0" borderId="1" xfId="0" applyBorder="1" applyAlignment="1">
      <alignment horizontal="left" vertical="top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left"/>
    </xf>
    <xf numFmtId="167" fontId="6" fillId="0" borderId="1" xfId="0" applyNumberFormat="1" applyFont="1" applyBorder="1" applyAlignment="1">
      <alignment horizontal="left" vertical="center" shrinkToFit="1"/>
    </xf>
    <xf numFmtId="168" fontId="6" fillId="0" borderId="1" xfId="0" applyNumberFormat="1" applyFont="1" applyBorder="1" applyAlignment="1">
      <alignment horizontal="left" vertical="center" shrinkToFit="1"/>
    </xf>
    <xf numFmtId="169" fontId="6" fillId="0" borderId="1" xfId="0" applyNumberFormat="1" applyFont="1" applyBorder="1" applyAlignment="1">
      <alignment horizontal="left" vertical="center" shrinkToFit="1"/>
    </xf>
    <xf numFmtId="170" fontId="6" fillId="0" borderId="1" xfId="0" applyNumberFormat="1" applyFont="1" applyBorder="1" applyAlignment="1">
      <alignment horizontal="left" vertical="center" shrinkToFit="1"/>
    </xf>
    <xf numFmtId="44" fontId="6" fillId="0" borderId="1" xfId="1" applyFont="1" applyBorder="1" applyAlignment="1">
      <alignment horizontal="left" vertical="center" shrinkToFit="1"/>
    </xf>
    <xf numFmtId="14" fontId="0" fillId="0" borderId="0" xfId="0" applyNumberFormat="1"/>
    <xf numFmtId="165" fontId="6" fillId="0" borderId="1" xfId="1" applyNumberFormat="1" applyFont="1" applyBorder="1" applyAlignment="1">
      <alignment horizontal="left" vertical="center" shrinkToFit="1"/>
    </xf>
    <xf numFmtId="166" fontId="6" fillId="0" borderId="1" xfId="1" applyNumberFormat="1" applyFont="1" applyBorder="1" applyAlignment="1">
      <alignment horizontal="left" vertical="center" shrinkToFit="1"/>
    </xf>
    <xf numFmtId="14" fontId="0" fillId="0" borderId="1" xfId="0" applyNumberFormat="1" applyBorder="1" applyAlignment="1">
      <alignment horizontal="left" vertical="center"/>
    </xf>
    <xf numFmtId="44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/>
    </xf>
    <xf numFmtId="14" fontId="0" fillId="0" borderId="1" xfId="0" applyNumberFormat="1" applyBorder="1"/>
    <xf numFmtId="14" fontId="0" fillId="0" borderId="1" xfId="0" applyNumberFormat="1" applyBorder="1" applyAlignment="1">
      <alignment horizontal="center" vertical="center"/>
    </xf>
    <xf numFmtId="171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71" fontId="0" fillId="0" borderId="1" xfId="0" applyNumberFormat="1" applyBorder="1"/>
    <xf numFmtId="165" fontId="0" fillId="0" borderId="4" xfId="0" applyNumberFormat="1" applyBorder="1" applyAlignment="1">
      <alignment horizontal="center" vertical="center"/>
    </xf>
    <xf numFmtId="165" fontId="0" fillId="0" borderId="1" xfId="0" applyNumberFormat="1" applyBorder="1"/>
    <xf numFmtId="165" fontId="0" fillId="0" borderId="0" xfId="0" applyNumberFormat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4" xfId="0" applyBorder="1" applyAlignment="1">
      <alignment horizontal="center"/>
    </xf>
    <xf numFmtId="165" fontId="0" fillId="0" borderId="5" xfId="0" applyNumberForma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71" fontId="0" fillId="0" borderId="5" xfId="0" applyNumberFormat="1" applyBorder="1" applyAlignment="1">
      <alignment horizontal="center" vertical="center"/>
    </xf>
    <xf numFmtId="166" fontId="0" fillId="0" borderId="1" xfId="0" applyNumberFormat="1" applyBorder="1"/>
    <xf numFmtId="14" fontId="1" fillId="2" borderId="1" xfId="0" applyNumberFormat="1" applyFont="1" applyFill="1" applyBorder="1" applyAlignment="1">
      <alignment horizontal="center" vertical="center"/>
    </xf>
    <xf numFmtId="44" fontId="0" fillId="0" borderId="1" xfId="1" applyFont="1" applyBorder="1"/>
    <xf numFmtId="0" fontId="0" fillId="0" borderId="1" xfId="0" applyBorder="1" applyAlignment="1">
      <alignment wrapText="1"/>
    </xf>
    <xf numFmtId="44" fontId="0" fillId="0" borderId="1" xfId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2" fillId="0" borderId="0" xfId="0" applyFont="1"/>
    <xf numFmtId="14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2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1" xfId="1" applyNumberFormat="1" applyFont="1" applyBorder="1" applyAlignment="1">
      <alignment horizontal="center" vertical="center"/>
    </xf>
    <xf numFmtId="175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3" fontId="0" fillId="0" borderId="1" xfId="0" applyNumberFormat="1" applyBorder="1" applyAlignment="1">
      <alignment horizontal="center" vertical="center"/>
    </xf>
    <xf numFmtId="174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0" xfId="0" applyFill="1"/>
    <xf numFmtId="0" fontId="1" fillId="4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166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left" vertical="center"/>
    </xf>
    <xf numFmtId="0" fontId="5" fillId="0" borderId="6" xfId="0" applyFont="1" applyBorder="1" applyAlignment="1">
      <alignment horizontal="left" vertical="center"/>
    </xf>
    <xf numFmtId="0" fontId="5" fillId="0" borderId="6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44" fontId="6" fillId="0" borderId="1" xfId="1" applyFont="1" applyFill="1" applyBorder="1" applyAlignment="1">
      <alignment horizontal="left" vertical="center" shrinkToFit="1"/>
    </xf>
    <xf numFmtId="14" fontId="0" fillId="0" borderId="4" xfId="0" applyNumberForma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4" fontId="12" fillId="0" borderId="1" xfId="0" applyNumberFormat="1" applyFont="1" applyBorder="1" applyAlignment="1">
      <alignment horizontal="center" vertical="center"/>
    </xf>
    <xf numFmtId="166" fontId="12" fillId="0" borderId="1" xfId="0" applyNumberFormat="1" applyFont="1" applyBorder="1" applyAlignment="1">
      <alignment horizontal="center" vertical="center" wrapText="1"/>
    </xf>
    <xf numFmtId="165" fontId="12" fillId="0" borderId="1" xfId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</cellXfs>
  <cellStyles count="2">
    <cellStyle name="Normal" xfId="0" builtinId="0"/>
    <cellStyle name="ParaBirimi" xfId="1" builtinId="4"/>
  </cellStyles>
  <dxfs count="0"/>
  <tableStyles count="0" defaultTableStyle="TableStyleMedium2" defaultPivotStyle="PivotStyleLight16"/>
  <colors>
    <mruColors>
      <color rgb="FFFF66FF"/>
      <color rgb="FF6699FF"/>
      <color rgb="FF66FFFF"/>
      <color rgb="FFFF0066"/>
      <color rgb="FF99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427C4-B609-4678-8133-B4F66F585697}">
  <sheetPr>
    <tabColor rgb="FFFF0066"/>
  </sheetPr>
  <dimension ref="B1:J68"/>
  <sheetViews>
    <sheetView topLeftCell="B1" zoomScale="85" zoomScaleNormal="85" workbookViewId="0">
      <selection activeCell="N14" sqref="N14"/>
    </sheetView>
  </sheetViews>
  <sheetFormatPr defaultRowHeight="14.4"/>
  <cols>
    <col min="1" max="1" width="5.21875" customWidth="1"/>
    <col min="2" max="3" width="12.21875" style="9" customWidth="1"/>
    <col min="4" max="5" width="17.44140625" style="9" customWidth="1"/>
    <col min="6" max="6" width="12.77734375" style="9" customWidth="1"/>
    <col min="7" max="7" width="15.44140625" style="9" customWidth="1"/>
    <col min="8" max="8" width="13.6640625" style="9" customWidth="1"/>
    <col min="9" max="9" width="14.5546875" style="9" customWidth="1"/>
    <col min="10" max="10" width="16.109375" style="9" customWidth="1"/>
  </cols>
  <sheetData>
    <row r="1" spans="2:10">
      <c r="I1" s="79"/>
      <c r="J1" s="68"/>
    </row>
    <row r="2" spans="2:10">
      <c r="B2" s="5" t="s">
        <v>411</v>
      </c>
      <c r="C2" s="5" t="s">
        <v>418</v>
      </c>
      <c r="D2" s="5" t="s">
        <v>102</v>
      </c>
      <c r="E2" s="5" t="s">
        <v>389</v>
      </c>
      <c r="F2" s="5" t="s">
        <v>23</v>
      </c>
      <c r="G2" s="5" t="s">
        <v>426</v>
      </c>
      <c r="H2" s="5" t="s">
        <v>396</v>
      </c>
      <c r="I2" s="5" t="s">
        <v>397</v>
      </c>
      <c r="J2" s="5" t="s">
        <v>413</v>
      </c>
    </row>
    <row r="3" spans="2:10">
      <c r="B3" s="30">
        <v>45628</v>
      </c>
      <c r="C3" s="30" t="s">
        <v>419</v>
      </c>
      <c r="D3" s="4" t="s">
        <v>394</v>
      </c>
      <c r="E3" s="4" t="s">
        <v>407</v>
      </c>
      <c r="F3" s="4" t="s">
        <v>395</v>
      </c>
      <c r="G3" s="31">
        <v>12.7</v>
      </c>
      <c r="H3" s="4" t="s">
        <v>400</v>
      </c>
      <c r="I3" s="4" t="s">
        <v>400</v>
      </c>
      <c r="J3" s="35">
        <v>419.42</v>
      </c>
    </row>
    <row r="4" spans="2:10">
      <c r="B4" s="30">
        <v>45695</v>
      </c>
      <c r="C4" s="30" t="s">
        <v>419</v>
      </c>
      <c r="D4" s="4" t="s">
        <v>394</v>
      </c>
      <c r="E4" s="4" t="s">
        <v>408</v>
      </c>
      <c r="F4" s="4" t="s">
        <v>395</v>
      </c>
      <c r="G4" s="31">
        <v>12</v>
      </c>
      <c r="H4" s="4" t="s">
        <v>399</v>
      </c>
      <c r="I4" s="4" t="s">
        <v>398</v>
      </c>
      <c r="J4" s="35">
        <v>486.43</v>
      </c>
    </row>
    <row r="5" spans="2:10">
      <c r="B5" s="30">
        <v>45708</v>
      </c>
      <c r="C5" s="30" t="s">
        <v>419</v>
      </c>
      <c r="D5" s="4" t="s">
        <v>394</v>
      </c>
      <c r="E5" s="4" t="s">
        <v>401</v>
      </c>
      <c r="F5" s="4" t="s">
        <v>395</v>
      </c>
      <c r="G5" s="31">
        <v>10</v>
      </c>
      <c r="H5" s="4" t="s">
        <v>399</v>
      </c>
      <c r="I5" s="4" t="s">
        <v>398</v>
      </c>
      <c r="J5" s="35">
        <v>267</v>
      </c>
    </row>
    <row r="6" spans="2:10">
      <c r="B6" s="30">
        <v>45635</v>
      </c>
      <c r="C6" s="30" t="s">
        <v>419</v>
      </c>
      <c r="D6" s="4" t="s">
        <v>394</v>
      </c>
      <c r="E6" s="4" t="s">
        <v>409</v>
      </c>
      <c r="F6" s="4" t="s">
        <v>395</v>
      </c>
      <c r="G6" s="31">
        <v>10</v>
      </c>
      <c r="H6" s="4" t="s">
        <v>399</v>
      </c>
      <c r="I6" s="4" t="s">
        <v>398</v>
      </c>
      <c r="J6" s="35">
        <v>403.52</v>
      </c>
    </row>
    <row r="7" spans="2:10">
      <c r="B7" s="30">
        <v>45635</v>
      </c>
      <c r="C7" s="30" t="s">
        <v>419</v>
      </c>
      <c r="D7" s="4" t="s">
        <v>394</v>
      </c>
      <c r="E7" s="4" t="s">
        <v>409</v>
      </c>
      <c r="F7" s="4" t="s">
        <v>395</v>
      </c>
      <c r="G7" s="31">
        <v>10</v>
      </c>
      <c r="H7" s="4" t="s">
        <v>399</v>
      </c>
      <c r="I7" s="4" t="s">
        <v>400</v>
      </c>
      <c r="J7" s="35">
        <v>358.85</v>
      </c>
    </row>
    <row r="8" spans="2:10">
      <c r="B8" s="30">
        <v>45708</v>
      </c>
      <c r="C8" s="30" t="s">
        <v>419</v>
      </c>
      <c r="D8" s="4" t="s">
        <v>118</v>
      </c>
      <c r="E8" s="4" t="s">
        <v>401</v>
      </c>
      <c r="F8" s="4" t="s">
        <v>395</v>
      </c>
      <c r="G8" s="31">
        <v>10</v>
      </c>
      <c r="H8" s="4" t="s">
        <v>399</v>
      </c>
      <c r="I8" s="4" t="s">
        <v>398</v>
      </c>
      <c r="J8" s="35">
        <v>187</v>
      </c>
    </row>
    <row r="9" spans="2:10">
      <c r="B9" s="30">
        <v>45695</v>
      </c>
      <c r="C9" s="30" t="s">
        <v>419</v>
      </c>
      <c r="D9" s="4" t="s">
        <v>118</v>
      </c>
      <c r="E9" s="4" t="s">
        <v>408</v>
      </c>
      <c r="F9" s="4" t="s">
        <v>395</v>
      </c>
      <c r="G9" s="31">
        <v>10</v>
      </c>
      <c r="H9" s="4" t="s">
        <v>399</v>
      </c>
      <c r="I9" s="4" t="s">
        <v>398</v>
      </c>
      <c r="J9" s="35">
        <v>236.25</v>
      </c>
    </row>
    <row r="10" spans="2:10">
      <c r="B10" s="30">
        <v>45628</v>
      </c>
      <c r="C10" s="30" t="s">
        <v>419</v>
      </c>
      <c r="D10" s="4" t="s">
        <v>118</v>
      </c>
      <c r="E10" s="4" t="s">
        <v>407</v>
      </c>
      <c r="F10" s="4" t="s">
        <v>395</v>
      </c>
      <c r="G10" s="31">
        <v>8.73</v>
      </c>
      <c r="H10" s="4" t="s">
        <v>400</v>
      </c>
      <c r="I10" s="4" t="s">
        <v>400</v>
      </c>
      <c r="J10" s="35">
        <v>190.83</v>
      </c>
    </row>
    <row r="11" spans="2:10">
      <c r="B11" s="30">
        <v>45635</v>
      </c>
      <c r="C11" s="30" t="s">
        <v>419</v>
      </c>
      <c r="D11" s="4" t="s">
        <v>118</v>
      </c>
      <c r="E11" s="4" t="s">
        <v>409</v>
      </c>
      <c r="F11" s="4" t="s">
        <v>395</v>
      </c>
      <c r="G11" s="31">
        <v>8.73</v>
      </c>
      <c r="H11" s="4" t="s">
        <v>399</v>
      </c>
      <c r="I11" s="4" t="s">
        <v>398</v>
      </c>
      <c r="J11" s="35">
        <v>219.62</v>
      </c>
    </row>
    <row r="12" spans="2:10">
      <c r="B12" s="30">
        <v>45695</v>
      </c>
      <c r="C12" s="30" t="s">
        <v>419</v>
      </c>
      <c r="D12" s="4" t="s">
        <v>118</v>
      </c>
      <c r="E12" s="4" t="s">
        <v>408</v>
      </c>
      <c r="F12" s="4" t="s">
        <v>395</v>
      </c>
      <c r="G12" s="31">
        <v>10</v>
      </c>
      <c r="H12" s="4" t="s">
        <v>399</v>
      </c>
      <c r="I12" s="4" t="s">
        <v>399</v>
      </c>
      <c r="J12" s="35">
        <v>220.15</v>
      </c>
    </row>
    <row r="13" spans="2:10">
      <c r="B13" s="30">
        <v>45635</v>
      </c>
      <c r="C13" s="30" t="s">
        <v>419</v>
      </c>
      <c r="D13" s="4" t="s">
        <v>118</v>
      </c>
      <c r="E13" s="4" t="s">
        <v>409</v>
      </c>
      <c r="F13" s="4" t="s">
        <v>395</v>
      </c>
      <c r="G13" s="31">
        <v>8.73</v>
      </c>
      <c r="H13" s="4" t="s">
        <v>399</v>
      </c>
      <c r="I13" s="4" t="s">
        <v>400</v>
      </c>
      <c r="J13" s="35">
        <v>192.55</v>
      </c>
    </row>
    <row r="14" spans="2:10">
      <c r="B14" s="30">
        <v>45708</v>
      </c>
      <c r="C14" s="30" t="s">
        <v>419</v>
      </c>
      <c r="D14" s="4" t="s">
        <v>117</v>
      </c>
      <c r="E14" s="4" t="s">
        <v>401</v>
      </c>
      <c r="F14" s="4" t="s">
        <v>395</v>
      </c>
      <c r="G14" s="31">
        <v>4.5</v>
      </c>
      <c r="H14" s="4" t="s">
        <v>399</v>
      </c>
      <c r="I14" s="4" t="s">
        <v>398</v>
      </c>
      <c r="J14" s="35">
        <v>45.5</v>
      </c>
    </row>
    <row r="15" spans="2:10">
      <c r="B15" s="30">
        <v>45635</v>
      </c>
      <c r="C15" s="30" t="s">
        <v>419</v>
      </c>
      <c r="D15" s="4" t="s">
        <v>117</v>
      </c>
      <c r="E15" s="4" t="s">
        <v>409</v>
      </c>
      <c r="F15" s="4" t="s">
        <v>395</v>
      </c>
      <c r="G15" s="31">
        <v>4.5</v>
      </c>
      <c r="H15" s="4" t="s">
        <v>399</v>
      </c>
      <c r="I15" s="4" t="s">
        <v>398</v>
      </c>
      <c r="J15" s="35">
        <v>71.61</v>
      </c>
    </row>
    <row r="16" spans="2:10">
      <c r="B16" s="30">
        <v>45329</v>
      </c>
      <c r="C16" s="30" t="s">
        <v>419</v>
      </c>
      <c r="D16" s="4" t="s">
        <v>117</v>
      </c>
      <c r="E16" s="4" t="s">
        <v>408</v>
      </c>
      <c r="F16" s="4" t="s">
        <v>395</v>
      </c>
      <c r="G16" s="31">
        <v>5</v>
      </c>
      <c r="H16" s="4" t="s">
        <v>399</v>
      </c>
      <c r="I16" s="4" t="s">
        <v>398</v>
      </c>
      <c r="J16" s="35">
        <v>77.459999999999994</v>
      </c>
    </row>
    <row r="17" spans="2:10">
      <c r="B17" s="30">
        <v>45708</v>
      </c>
      <c r="C17" s="30" t="s">
        <v>419</v>
      </c>
      <c r="D17" s="4" t="s">
        <v>114</v>
      </c>
      <c r="E17" s="4" t="s">
        <v>401</v>
      </c>
      <c r="F17" s="4" t="s">
        <v>395</v>
      </c>
      <c r="G17" s="31">
        <v>4</v>
      </c>
      <c r="H17" s="4" t="s">
        <v>399</v>
      </c>
      <c r="I17" s="4" t="s">
        <v>398</v>
      </c>
      <c r="J17" s="35">
        <v>27</v>
      </c>
    </row>
    <row r="18" spans="2:10">
      <c r="B18" s="30">
        <v>45329</v>
      </c>
      <c r="C18" s="30" t="s">
        <v>419</v>
      </c>
      <c r="D18" s="4" t="s">
        <v>114</v>
      </c>
      <c r="E18" s="4" t="s">
        <v>408</v>
      </c>
      <c r="F18" s="4" t="s">
        <v>395</v>
      </c>
      <c r="G18" s="31">
        <v>5</v>
      </c>
      <c r="H18" s="4" t="s">
        <v>399</v>
      </c>
      <c r="I18" s="4" t="s">
        <v>398</v>
      </c>
      <c r="J18" s="35">
        <v>46.03</v>
      </c>
    </row>
    <row r="19" spans="2:10">
      <c r="B19" s="30">
        <v>45708</v>
      </c>
      <c r="C19" s="30" t="s">
        <v>419</v>
      </c>
      <c r="D19" s="4" t="s">
        <v>118</v>
      </c>
      <c r="E19" s="4" t="s">
        <v>401</v>
      </c>
      <c r="F19" s="4" t="s">
        <v>395</v>
      </c>
      <c r="G19" s="31">
        <v>10</v>
      </c>
      <c r="H19" s="4" t="s">
        <v>399</v>
      </c>
      <c r="I19" s="4" t="s">
        <v>399</v>
      </c>
      <c r="J19" s="35">
        <v>190</v>
      </c>
    </row>
    <row r="20" spans="2:10">
      <c r="B20" s="30">
        <v>45708</v>
      </c>
      <c r="C20" s="30" t="s">
        <v>419</v>
      </c>
      <c r="D20" s="4" t="s">
        <v>120</v>
      </c>
      <c r="E20" s="4" t="s">
        <v>401</v>
      </c>
      <c r="F20" s="4" t="s">
        <v>395</v>
      </c>
      <c r="G20" s="31">
        <v>6</v>
      </c>
      <c r="H20" s="4" t="s">
        <v>399</v>
      </c>
      <c r="I20" s="4" t="s">
        <v>399</v>
      </c>
      <c r="J20" s="35">
        <v>96.5</v>
      </c>
    </row>
    <row r="21" spans="2:10">
      <c r="B21" s="30">
        <v>45628</v>
      </c>
      <c r="C21" s="30" t="s">
        <v>419</v>
      </c>
      <c r="D21" s="4" t="s">
        <v>120</v>
      </c>
      <c r="E21" s="4" t="s">
        <v>407</v>
      </c>
      <c r="F21" s="4" t="s">
        <v>395</v>
      </c>
      <c r="G21" s="31">
        <v>8</v>
      </c>
      <c r="H21" s="4" t="s">
        <v>400</v>
      </c>
      <c r="I21" s="4" t="s">
        <v>400</v>
      </c>
      <c r="J21" s="35">
        <v>152.6</v>
      </c>
    </row>
    <row r="22" spans="2:10">
      <c r="B22" s="30">
        <v>45329</v>
      </c>
      <c r="C22" s="30" t="s">
        <v>419</v>
      </c>
      <c r="D22" s="4" t="s">
        <v>120</v>
      </c>
      <c r="E22" s="4" t="s">
        <v>408</v>
      </c>
      <c r="F22" s="4" t="s">
        <v>395</v>
      </c>
      <c r="G22" s="31">
        <v>8</v>
      </c>
      <c r="H22" s="4" t="s">
        <v>399</v>
      </c>
      <c r="I22" s="4" t="s">
        <v>399</v>
      </c>
      <c r="J22" s="35">
        <v>137.72</v>
      </c>
    </row>
    <row r="23" spans="2:10">
      <c r="B23" s="30">
        <v>45635</v>
      </c>
      <c r="C23" s="30" t="s">
        <v>419</v>
      </c>
      <c r="D23" s="4" t="s">
        <v>120</v>
      </c>
      <c r="E23" s="4" t="s">
        <v>409</v>
      </c>
      <c r="F23" s="4" t="s">
        <v>395</v>
      </c>
      <c r="G23" s="31">
        <v>8</v>
      </c>
      <c r="H23" s="4" t="s">
        <v>399</v>
      </c>
      <c r="I23" s="4" t="s">
        <v>398</v>
      </c>
      <c r="J23" s="35">
        <v>166.73</v>
      </c>
    </row>
    <row r="24" spans="2:10">
      <c r="B24" s="30">
        <v>45635</v>
      </c>
      <c r="C24" s="30" t="s">
        <v>419</v>
      </c>
      <c r="D24" s="4" t="s">
        <v>120</v>
      </c>
      <c r="E24" s="4" t="s">
        <v>409</v>
      </c>
      <c r="F24" s="4" t="s">
        <v>395</v>
      </c>
      <c r="G24" s="31">
        <v>8</v>
      </c>
      <c r="H24" s="4" t="s">
        <v>399</v>
      </c>
      <c r="I24" s="4" t="s">
        <v>400</v>
      </c>
      <c r="J24" s="35">
        <v>144.38999999999999</v>
      </c>
    </row>
    <row r="25" spans="2:10">
      <c r="B25" s="30">
        <v>45708</v>
      </c>
      <c r="C25" s="30" t="s">
        <v>419</v>
      </c>
      <c r="D25" s="4" t="s">
        <v>116</v>
      </c>
      <c r="E25" s="4" t="s">
        <v>401</v>
      </c>
      <c r="F25" s="4" t="s">
        <v>395</v>
      </c>
      <c r="G25" s="31">
        <v>5</v>
      </c>
      <c r="H25" s="4" t="s">
        <v>399</v>
      </c>
      <c r="I25" s="4" t="s">
        <v>399</v>
      </c>
      <c r="J25" s="35">
        <v>66</v>
      </c>
    </row>
    <row r="26" spans="2:10">
      <c r="B26" s="30">
        <v>45329</v>
      </c>
      <c r="C26" s="30" t="s">
        <v>419</v>
      </c>
      <c r="D26" s="4" t="s">
        <v>116</v>
      </c>
      <c r="E26" s="4" t="s">
        <v>408</v>
      </c>
      <c r="F26" s="4" t="s">
        <v>395</v>
      </c>
      <c r="G26" s="31">
        <v>5</v>
      </c>
      <c r="H26" s="4" t="s">
        <v>399</v>
      </c>
      <c r="I26" s="4" t="s">
        <v>399</v>
      </c>
      <c r="J26" s="35">
        <v>85.79</v>
      </c>
    </row>
    <row r="27" spans="2:10">
      <c r="B27" s="30">
        <v>45628</v>
      </c>
      <c r="C27" s="30" t="s">
        <v>419</v>
      </c>
      <c r="D27" s="4" t="s">
        <v>116</v>
      </c>
      <c r="E27" s="4" t="s">
        <v>407</v>
      </c>
      <c r="F27" s="4" t="s">
        <v>395</v>
      </c>
      <c r="G27" s="31">
        <v>6.3</v>
      </c>
      <c r="H27" s="4" t="s">
        <v>400</v>
      </c>
      <c r="I27" s="4" t="s">
        <v>400</v>
      </c>
      <c r="J27" s="35">
        <v>103.1</v>
      </c>
    </row>
    <row r="28" spans="2:10" ht="13.8" customHeight="1">
      <c r="B28" s="30">
        <v>45635</v>
      </c>
      <c r="C28" s="30" t="s">
        <v>419</v>
      </c>
      <c r="D28" s="4" t="s">
        <v>116</v>
      </c>
      <c r="E28" s="4" t="s">
        <v>409</v>
      </c>
      <c r="F28" s="4" t="s">
        <v>395</v>
      </c>
      <c r="G28" s="31">
        <v>6.3</v>
      </c>
      <c r="H28" s="4" t="s">
        <v>399</v>
      </c>
      <c r="I28" s="4" t="s">
        <v>398</v>
      </c>
      <c r="J28" s="35">
        <v>120.14</v>
      </c>
    </row>
    <row r="29" spans="2:10" ht="13.8" customHeight="1">
      <c r="B29" s="30">
        <v>45635</v>
      </c>
      <c r="C29" s="30" t="s">
        <v>419</v>
      </c>
      <c r="D29" s="4" t="s">
        <v>116</v>
      </c>
      <c r="E29" s="4" t="s">
        <v>409</v>
      </c>
      <c r="F29" s="4" t="s">
        <v>395</v>
      </c>
      <c r="G29" s="31">
        <v>6.3</v>
      </c>
      <c r="H29" s="4" t="s">
        <v>399</v>
      </c>
      <c r="I29" s="4" t="s">
        <v>400</v>
      </c>
      <c r="J29" s="35">
        <v>100.98</v>
      </c>
    </row>
    <row r="30" spans="2:10">
      <c r="B30" s="30">
        <v>45708</v>
      </c>
      <c r="C30" s="30" t="s">
        <v>419</v>
      </c>
      <c r="D30" s="4" t="s">
        <v>115</v>
      </c>
      <c r="E30" s="4" t="s">
        <v>401</v>
      </c>
      <c r="F30" s="4" t="s">
        <v>395</v>
      </c>
      <c r="G30" s="31">
        <v>5</v>
      </c>
      <c r="H30" s="4" t="s">
        <v>399</v>
      </c>
      <c r="I30" s="4" t="s">
        <v>399</v>
      </c>
      <c r="J30" s="35">
        <v>55</v>
      </c>
    </row>
    <row r="31" spans="2:10">
      <c r="B31" s="30">
        <v>45628</v>
      </c>
      <c r="C31" s="30" t="s">
        <v>419</v>
      </c>
      <c r="D31" s="4" t="s">
        <v>115</v>
      </c>
      <c r="E31" s="4" t="s">
        <v>407</v>
      </c>
      <c r="F31" s="4" t="s">
        <v>395</v>
      </c>
      <c r="G31" s="31">
        <v>8</v>
      </c>
      <c r="H31" s="4" t="s">
        <v>400</v>
      </c>
      <c r="I31" s="4" t="s">
        <v>400</v>
      </c>
      <c r="J31" s="35">
        <v>108.5</v>
      </c>
    </row>
    <row r="32" spans="2:10">
      <c r="B32" s="30">
        <v>45329</v>
      </c>
      <c r="C32" s="30" t="s">
        <v>419</v>
      </c>
      <c r="D32" s="4" t="s">
        <v>115</v>
      </c>
      <c r="E32" s="4" t="s">
        <v>408</v>
      </c>
      <c r="F32" s="4" t="s">
        <v>395</v>
      </c>
      <c r="G32" s="31">
        <v>7.1</v>
      </c>
      <c r="H32" s="4" t="s">
        <v>399</v>
      </c>
      <c r="I32" s="4" t="s">
        <v>399</v>
      </c>
      <c r="J32" s="35">
        <v>104.51</v>
      </c>
    </row>
    <row r="33" spans="2:10">
      <c r="B33" s="30">
        <v>45635</v>
      </c>
      <c r="C33" s="30" t="s">
        <v>419</v>
      </c>
      <c r="D33" s="4" t="s">
        <v>115</v>
      </c>
      <c r="E33" s="4" t="s">
        <v>409</v>
      </c>
      <c r="F33" s="4" t="s">
        <v>395</v>
      </c>
      <c r="G33" s="31">
        <v>8</v>
      </c>
      <c r="H33" s="4" t="s">
        <v>399</v>
      </c>
      <c r="I33" s="4" t="s">
        <v>398</v>
      </c>
      <c r="J33" s="35">
        <v>118.86</v>
      </c>
    </row>
    <row r="34" spans="2:10">
      <c r="B34" s="30">
        <v>45635</v>
      </c>
      <c r="C34" s="30" t="s">
        <v>419</v>
      </c>
      <c r="D34" s="4" t="s">
        <v>115</v>
      </c>
      <c r="E34" s="4" t="s">
        <v>409</v>
      </c>
      <c r="F34" s="4" t="s">
        <v>395</v>
      </c>
      <c r="G34" s="31">
        <v>8</v>
      </c>
      <c r="H34" s="4" t="s">
        <v>399</v>
      </c>
      <c r="I34" s="4" t="s">
        <v>400</v>
      </c>
      <c r="J34" s="35">
        <v>102.9</v>
      </c>
    </row>
    <row r="35" spans="2:10">
      <c r="B35" s="30">
        <v>45708</v>
      </c>
      <c r="C35" s="30" t="s">
        <v>419</v>
      </c>
      <c r="D35" s="4" t="s">
        <v>117</v>
      </c>
      <c r="E35" s="4" t="s">
        <v>401</v>
      </c>
      <c r="F35" s="4" t="s">
        <v>395</v>
      </c>
      <c r="G35" s="31">
        <v>4.5</v>
      </c>
      <c r="H35" s="4" t="s">
        <v>399</v>
      </c>
      <c r="I35" s="4" t="s">
        <v>399</v>
      </c>
      <c r="J35" s="35">
        <v>45</v>
      </c>
    </row>
    <row r="36" spans="2:10">
      <c r="B36" s="30">
        <v>45628</v>
      </c>
      <c r="C36" s="30" t="s">
        <v>419</v>
      </c>
      <c r="D36" s="4" t="s">
        <v>117</v>
      </c>
      <c r="E36" s="4" t="s">
        <v>407</v>
      </c>
      <c r="F36" s="4" t="s">
        <v>395</v>
      </c>
      <c r="G36" s="31">
        <v>5</v>
      </c>
      <c r="H36" s="4" t="s">
        <v>400</v>
      </c>
      <c r="I36" s="4" t="s">
        <v>400</v>
      </c>
      <c r="J36" s="35">
        <v>61.33</v>
      </c>
    </row>
    <row r="37" spans="2:10">
      <c r="B37" s="30">
        <v>45329</v>
      </c>
      <c r="C37" s="30" t="s">
        <v>419</v>
      </c>
      <c r="D37" s="4" t="s">
        <v>117</v>
      </c>
      <c r="E37" s="4" t="s">
        <v>408</v>
      </c>
      <c r="F37" s="4" t="s">
        <v>395</v>
      </c>
      <c r="G37" s="31">
        <v>5</v>
      </c>
      <c r="H37" s="4" t="s">
        <v>399</v>
      </c>
      <c r="I37" s="4" t="s">
        <v>399</v>
      </c>
      <c r="J37" s="35">
        <v>71.69</v>
      </c>
    </row>
    <row r="38" spans="2:10">
      <c r="B38" s="30">
        <v>45635</v>
      </c>
      <c r="C38" s="30" t="s">
        <v>419</v>
      </c>
      <c r="D38" s="4" t="s">
        <v>117</v>
      </c>
      <c r="E38" s="4" t="s">
        <v>409</v>
      </c>
      <c r="F38" s="4" t="s">
        <v>395</v>
      </c>
      <c r="G38" s="31">
        <v>4.5</v>
      </c>
      <c r="H38" s="4" t="s">
        <v>399</v>
      </c>
      <c r="I38" s="4" t="s">
        <v>400</v>
      </c>
      <c r="J38" s="35">
        <v>57.25</v>
      </c>
    </row>
    <row r="39" spans="2:10">
      <c r="B39" s="30">
        <v>45708</v>
      </c>
      <c r="C39" s="30" t="s">
        <v>419</v>
      </c>
      <c r="D39" s="4" t="s">
        <v>110</v>
      </c>
      <c r="E39" s="4" t="s">
        <v>401</v>
      </c>
      <c r="F39" s="4" t="s">
        <v>395</v>
      </c>
      <c r="G39" s="31">
        <v>4</v>
      </c>
      <c r="H39" s="4" t="s">
        <v>399</v>
      </c>
      <c r="I39" s="4" t="s">
        <v>399</v>
      </c>
      <c r="J39" s="35">
        <v>36.5</v>
      </c>
    </row>
    <row r="40" spans="2:10">
      <c r="B40" s="30">
        <v>45628</v>
      </c>
      <c r="C40" s="30" t="s">
        <v>419</v>
      </c>
      <c r="D40" s="4" t="s">
        <v>110</v>
      </c>
      <c r="E40" s="4" t="s">
        <v>407</v>
      </c>
      <c r="F40" s="4" t="s">
        <v>395</v>
      </c>
      <c r="G40" s="31">
        <v>6.3</v>
      </c>
      <c r="H40" s="4" t="s">
        <v>400</v>
      </c>
      <c r="I40" s="4" t="s">
        <v>400</v>
      </c>
      <c r="J40" s="35">
        <v>74.59</v>
      </c>
    </row>
    <row r="41" spans="2:10">
      <c r="B41" s="30">
        <v>45329</v>
      </c>
      <c r="C41" s="30" t="s">
        <v>419</v>
      </c>
      <c r="D41" s="4" t="s">
        <v>110</v>
      </c>
      <c r="E41" s="4" t="s">
        <v>408</v>
      </c>
      <c r="F41" s="4" t="s">
        <v>395</v>
      </c>
      <c r="G41" s="31">
        <v>6</v>
      </c>
      <c r="H41" s="4" t="s">
        <v>399</v>
      </c>
      <c r="I41" s="4" t="s">
        <v>399</v>
      </c>
      <c r="J41" s="35">
        <v>69.73</v>
      </c>
    </row>
    <row r="42" spans="2:10">
      <c r="B42" s="30">
        <v>45635</v>
      </c>
      <c r="C42" s="30" t="s">
        <v>419</v>
      </c>
      <c r="D42" s="4" t="s">
        <v>110</v>
      </c>
      <c r="E42" s="4" t="s">
        <v>409</v>
      </c>
      <c r="F42" s="4" t="s">
        <v>395</v>
      </c>
      <c r="G42" s="31">
        <v>4</v>
      </c>
      <c r="H42" s="4" t="s">
        <v>399</v>
      </c>
      <c r="I42" s="4" t="s">
        <v>398</v>
      </c>
      <c r="J42" s="35">
        <v>58.87</v>
      </c>
    </row>
    <row r="43" spans="2:10">
      <c r="B43" s="30">
        <v>45635</v>
      </c>
      <c r="C43" s="30" t="s">
        <v>419</v>
      </c>
      <c r="D43" s="4" t="s">
        <v>110</v>
      </c>
      <c r="E43" s="4" t="s">
        <v>409</v>
      </c>
      <c r="F43" s="4" t="s">
        <v>395</v>
      </c>
      <c r="G43" s="31">
        <v>4</v>
      </c>
      <c r="H43" s="4" t="s">
        <v>399</v>
      </c>
      <c r="I43" s="4" t="s">
        <v>400</v>
      </c>
      <c r="J43" s="35">
        <v>46.12</v>
      </c>
    </row>
    <row r="44" spans="2:10">
      <c r="B44" s="30">
        <v>45708</v>
      </c>
      <c r="C44" s="30" t="s">
        <v>419</v>
      </c>
      <c r="D44" s="4" t="s">
        <v>109</v>
      </c>
      <c r="E44" s="4" t="s">
        <v>401</v>
      </c>
      <c r="F44" s="4" t="s">
        <v>395</v>
      </c>
      <c r="G44" s="31">
        <v>4</v>
      </c>
      <c r="H44" s="4" t="s">
        <v>399</v>
      </c>
      <c r="I44" s="4" t="s">
        <v>399</v>
      </c>
      <c r="J44" s="35">
        <v>32</v>
      </c>
    </row>
    <row r="45" spans="2:10">
      <c r="B45" s="30">
        <v>45628</v>
      </c>
      <c r="C45" s="30" t="s">
        <v>419</v>
      </c>
      <c r="D45" s="4" t="s">
        <v>109</v>
      </c>
      <c r="E45" s="4" t="s">
        <v>407</v>
      </c>
      <c r="F45" s="4" t="s">
        <v>395</v>
      </c>
      <c r="G45" s="31">
        <v>6.3</v>
      </c>
      <c r="H45" s="4" t="s">
        <v>400</v>
      </c>
      <c r="I45" s="4" t="s">
        <v>400</v>
      </c>
      <c r="J45" s="35">
        <v>54.28</v>
      </c>
    </row>
    <row r="46" spans="2:10">
      <c r="B46" s="30">
        <v>45329</v>
      </c>
      <c r="C46" s="30" t="s">
        <v>419</v>
      </c>
      <c r="D46" s="4" t="s">
        <v>109</v>
      </c>
      <c r="E46" s="4" t="s">
        <v>408</v>
      </c>
      <c r="F46" s="4" t="s">
        <v>395</v>
      </c>
      <c r="G46" s="31">
        <v>5</v>
      </c>
      <c r="H46" s="4" t="s">
        <v>399</v>
      </c>
      <c r="I46" s="4" t="s">
        <v>399</v>
      </c>
      <c r="J46" s="35">
        <v>50.56</v>
      </c>
    </row>
    <row r="47" spans="2:10">
      <c r="B47" s="30">
        <v>45635</v>
      </c>
      <c r="C47" s="30" t="s">
        <v>419</v>
      </c>
      <c r="D47" s="4" t="s">
        <v>109</v>
      </c>
      <c r="E47" s="4" t="s">
        <v>409</v>
      </c>
      <c r="F47" s="4" t="s">
        <v>395</v>
      </c>
      <c r="G47" s="31">
        <v>4</v>
      </c>
      <c r="H47" s="4" t="s">
        <v>399</v>
      </c>
      <c r="I47" s="4" t="s">
        <v>398</v>
      </c>
      <c r="J47" s="35">
        <v>46.17</v>
      </c>
    </row>
    <row r="48" spans="2:10">
      <c r="B48" s="30">
        <v>45635</v>
      </c>
      <c r="C48" s="30" t="s">
        <v>419</v>
      </c>
      <c r="D48" s="4" t="s">
        <v>109</v>
      </c>
      <c r="E48" s="4" t="s">
        <v>409</v>
      </c>
      <c r="F48" s="4" t="s">
        <v>395</v>
      </c>
      <c r="G48" s="31">
        <v>4</v>
      </c>
      <c r="H48" s="4" t="s">
        <v>399</v>
      </c>
      <c r="I48" s="4" t="s">
        <v>400</v>
      </c>
      <c r="J48" s="35">
        <v>36.03</v>
      </c>
    </row>
    <row r="49" spans="2:10">
      <c r="B49" s="30">
        <v>45708</v>
      </c>
      <c r="C49" s="30" t="s">
        <v>419</v>
      </c>
      <c r="D49" s="4" t="s">
        <v>114</v>
      </c>
      <c r="E49" s="4" t="s">
        <v>401</v>
      </c>
      <c r="F49" s="4" t="s">
        <v>395</v>
      </c>
      <c r="G49" s="31">
        <v>4</v>
      </c>
      <c r="H49" s="4" t="s">
        <v>399</v>
      </c>
      <c r="I49" s="4" t="s">
        <v>399</v>
      </c>
      <c r="J49" s="35">
        <v>27</v>
      </c>
    </row>
    <row r="50" spans="2:10">
      <c r="B50" s="30">
        <v>45628</v>
      </c>
      <c r="C50" s="30" t="s">
        <v>419</v>
      </c>
      <c r="D50" s="4" t="s">
        <v>114</v>
      </c>
      <c r="E50" s="4" t="s">
        <v>407</v>
      </c>
      <c r="F50" s="4" t="s">
        <v>395</v>
      </c>
      <c r="G50" s="31">
        <v>5</v>
      </c>
      <c r="H50" s="4" t="s">
        <v>400</v>
      </c>
      <c r="I50" s="4" t="s">
        <v>400</v>
      </c>
      <c r="J50" s="35">
        <v>36.36</v>
      </c>
    </row>
    <row r="51" spans="2:10">
      <c r="B51" s="30">
        <v>45329</v>
      </c>
      <c r="C51" s="30" t="s">
        <v>419</v>
      </c>
      <c r="D51" s="4" t="s">
        <v>114</v>
      </c>
      <c r="E51" s="4" t="s">
        <v>408</v>
      </c>
      <c r="F51" s="4" t="s">
        <v>395</v>
      </c>
      <c r="G51" s="31">
        <v>5</v>
      </c>
      <c r="H51" s="4" t="s">
        <v>399</v>
      </c>
      <c r="I51" s="4" t="s">
        <v>399</v>
      </c>
      <c r="J51" s="35">
        <v>42.53</v>
      </c>
    </row>
    <row r="52" spans="2:10">
      <c r="B52" s="30">
        <v>45635</v>
      </c>
      <c r="C52" s="30" t="s">
        <v>419</v>
      </c>
      <c r="D52" s="4" t="s">
        <v>114</v>
      </c>
      <c r="E52" s="4" t="s">
        <v>409</v>
      </c>
      <c r="F52" s="4" t="s">
        <v>395</v>
      </c>
      <c r="G52" s="31">
        <v>4</v>
      </c>
      <c r="H52" s="4" t="s">
        <v>399</v>
      </c>
      <c r="I52" s="4" t="s">
        <v>398</v>
      </c>
      <c r="J52" s="35">
        <v>39.130000000000003</v>
      </c>
    </row>
    <row r="53" spans="2:10">
      <c r="B53" s="30">
        <v>45635</v>
      </c>
      <c r="C53" s="30" t="s">
        <v>419</v>
      </c>
      <c r="D53" s="4" t="s">
        <v>114</v>
      </c>
      <c r="E53" s="4" t="s">
        <v>409</v>
      </c>
      <c r="F53" s="4" t="s">
        <v>395</v>
      </c>
      <c r="G53" s="31">
        <v>4</v>
      </c>
      <c r="H53" s="4" t="s">
        <v>399</v>
      </c>
      <c r="I53" s="4" t="s">
        <v>400</v>
      </c>
      <c r="J53" s="35">
        <v>30.55</v>
      </c>
    </row>
    <row r="54" spans="2:10">
      <c r="B54" s="30">
        <v>45708</v>
      </c>
      <c r="C54" s="30" t="s">
        <v>419</v>
      </c>
      <c r="D54" s="4" t="s">
        <v>108</v>
      </c>
      <c r="E54" s="4" t="s">
        <v>401</v>
      </c>
      <c r="F54" s="4" t="s">
        <v>395</v>
      </c>
      <c r="G54" s="31">
        <v>4</v>
      </c>
      <c r="H54" s="4" t="s">
        <v>400</v>
      </c>
      <c r="I54" s="4" t="s">
        <v>400</v>
      </c>
      <c r="J54" s="35">
        <v>23</v>
      </c>
    </row>
    <row r="55" spans="2:10">
      <c r="B55" s="30">
        <v>45329</v>
      </c>
      <c r="C55" s="30" t="s">
        <v>419</v>
      </c>
      <c r="D55" s="4" t="s">
        <v>108</v>
      </c>
      <c r="E55" s="4" t="s">
        <v>408</v>
      </c>
      <c r="F55" s="4" t="s">
        <v>395</v>
      </c>
      <c r="G55" s="31">
        <v>4</v>
      </c>
      <c r="H55" s="4" t="s">
        <v>400</v>
      </c>
      <c r="I55" s="4" t="s">
        <v>400</v>
      </c>
      <c r="J55" s="35">
        <v>20.67</v>
      </c>
    </row>
    <row r="56" spans="2:10">
      <c r="B56" s="30">
        <v>45708</v>
      </c>
      <c r="C56" s="30" t="s">
        <v>419</v>
      </c>
      <c r="D56" s="4" t="s">
        <v>119</v>
      </c>
      <c r="E56" s="4" t="s">
        <v>401</v>
      </c>
      <c r="F56" s="4" t="s">
        <v>395</v>
      </c>
      <c r="G56" s="31">
        <v>4</v>
      </c>
      <c r="H56" s="4" t="s">
        <v>400</v>
      </c>
      <c r="I56" s="4" t="s">
        <v>400</v>
      </c>
      <c r="J56" s="35">
        <v>32</v>
      </c>
    </row>
    <row r="57" spans="2:10">
      <c r="B57" s="30">
        <v>45628</v>
      </c>
      <c r="C57" s="30" t="s">
        <v>419</v>
      </c>
      <c r="D57" s="4" t="s">
        <v>119</v>
      </c>
      <c r="E57" s="4" t="s">
        <v>407</v>
      </c>
      <c r="F57" s="4" t="s">
        <v>395</v>
      </c>
      <c r="G57" s="31">
        <v>5</v>
      </c>
      <c r="H57" s="4" t="s">
        <v>400</v>
      </c>
      <c r="I57" s="4" t="s">
        <v>400</v>
      </c>
      <c r="J57" s="35">
        <v>16.739999999999998</v>
      </c>
    </row>
    <row r="58" spans="2:10">
      <c r="B58" s="30">
        <v>45329</v>
      </c>
      <c r="C58" s="30" t="s">
        <v>419</v>
      </c>
      <c r="D58" s="4" t="s">
        <v>119</v>
      </c>
      <c r="E58" s="4" t="s">
        <v>408</v>
      </c>
      <c r="F58" s="4" t="s">
        <v>395</v>
      </c>
      <c r="G58" s="31">
        <v>5</v>
      </c>
      <c r="H58" s="4" t="s">
        <v>400</v>
      </c>
      <c r="I58" s="4" t="s">
        <v>400</v>
      </c>
      <c r="J58" s="35">
        <v>14.99</v>
      </c>
    </row>
    <row r="59" spans="2:10">
      <c r="B59" s="30">
        <v>45635</v>
      </c>
      <c r="C59" s="30" t="s">
        <v>419</v>
      </c>
      <c r="D59" s="4" t="s">
        <v>119</v>
      </c>
      <c r="E59" s="4" t="s">
        <v>409</v>
      </c>
      <c r="F59" s="4" t="s">
        <v>395</v>
      </c>
      <c r="G59" s="31">
        <v>3</v>
      </c>
      <c r="H59" s="4" t="s">
        <v>399</v>
      </c>
      <c r="I59" s="4" t="s">
        <v>398</v>
      </c>
      <c r="J59" s="35">
        <v>25.82</v>
      </c>
    </row>
    <row r="60" spans="2:10">
      <c r="B60" s="30">
        <v>45635</v>
      </c>
      <c r="C60" s="30" t="s">
        <v>419</v>
      </c>
      <c r="D60" s="4" t="s">
        <v>119</v>
      </c>
      <c r="E60" s="4" t="s">
        <v>409</v>
      </c>
      <c r="F60" s="4" t="s">
        <v>395</v>
      </c>
      <c r="G60" s="31">
        <v>3</v>
      </c>
      <c r="H60" s="4" t="s">
        <v>399</v>
      </c>
      <c r="I60" s="4" t="s">
        <v>400</v>
      </c>
      <c r="J60" s="35">
        <v>20.54</v>
      </c>
    </row>
    <row r="61" spans="2:10">
      <c r="B61" s="30">
        <v>45708</v>
      </c>
      <c r="C61" s="30" t="s">
        <v>419</v>
      </c>
      <c r="D61" s="4" t="s">
        <v>105</v>
      </c>
      <c r="E61" s="4" t="s">
        <v>401</v>
      </c>
      <c r="F61" s="4" t="s">
        <v>395</v>
      </c>
      <c r="G61" s="31">
        <v>4</v>
      </c>
      <c r="H61" s="4" t="s">
        <v>399</v>
      </c>
      <c r="I61" s="4" t="s">
        <v>399</v>
      </c>
      <c r="J61" s="35">
        <v>22</v>
      </c>
    </row>
    <row r="62" spans="2:10">
      <c r="B62" s="30">
        <v>45329</v>
      </c>
      <c r="C62" s="30" t="s">
        <v>419</v>
      </c>
      <c r="D62" s="4" t="s">
        <v>105</v>
      </c>
      <c r="E62" s="4" t="s">
        <v>408</v>
      </c>
      <c r="F62" s="4" t="s">
        <v>395</v>
      </c>
      <c r="G62" s="31">
        <v>4.5</v>
      </c>
      <c r="H62" s="4" t="s">
        <v>399</v>
      </c>
      <c r="I62" s="4" t="s">
        <v>399</v>
      </c>
      <c r="J62" s="35">
        <v>13.13</v>
      </c>
    </row>
    <row r="63" spans="2:10">
      <c r="B63" s="30">
        <v>45628</v>
      </c>
      <c r="C63" s="30" t="s">
        <v>419</v>
      </c>
      <c r="D63" s="4" t="s">
        <v>105</v>
      </c>
      <c r="E63" s="4" t="s">
        <v>407</v>
      </c>
      <c r="F63" s="4" t="s">
        <v>395</v>
      </c>
      <c r="G63" s="31">
        <v>4.5</v>
      </c>
      <c r="H63" s="4" t="s">
        <v>400</v>
      </c>
      <c r="I63" s="4" t="s">
        <v>400</v>
      </c>
      <c r="J63" s="35">
        <v>9.76</v>
      </c>
    </row>
    <row r="64" spans="2:10">
      <c r="B64" s="30">
        <v>45635</v>
      </c>
      <c r="C64" s="30" t="s">
        <v>419</v>
      </c>
      <c r="D64" s="4" t="s">
        <v>105</v>
      </c>
      <c r="E64" s="4" t="s">
        <v>409</v>
      </c>
      <c r="F64" s="4" t="s">
        <v>395</v>
      </c>
      <c r="G64" s="31">
        <v>3</v>
      </c>
      <c r="H64" s="4" t="s">
        <v>399</v>
      </c>
      <c r="I64" s="4" t="s">
        <v>398</v>
      </c>
      <c r="J64" s="35">
        <v>17.739999999999998</v>
      </c>
    </row>
    <row r="65" spans="2:10">
      <c r="B65" s="30">
        <v>45635</v>
      </c>
      <c r="C65" s="30" t="s">
        <v>419</v>
      </c>
      <c r="D65" s="4" t="s">
        <v>105</v>
      </c>
      <c r="E65" s="4" t="s">
        <v>409</v>
      </c>
      <c r="F65" s="4" t="s">
        <v>395</v>
      </c>
      <c r="G65" s="31">
        <v>3</v>
      </c>
      <c r="H65" s="4" t="s">
        <v>399</v>
      </c>
      <c r="I65" s="4" t="s">
        <v>400</v>
      </c>
      <c r="J65" s="35">
        <v>14.16</v>
      </c>
    </row>
    <row r="66" spans="2:10">
      <c r="B66" s="30">
        <v>45628</v>
      </c>
      <c r="C66" s="30" t="s">
        <v>419</v>
      </c>
      <c r="D66" s="4" t="s">
        <v>111</v>
      </c>
      <c r="E66" s="4" t="s">
        <v>407</v>
      </c>
      <c r="F66" s="4" t="s">
        <v>395</v>
      </c>
      <c r="G66" s="31">
        <v>5</v>
      </c>
      <c r="H66" s="4" t="s">
        <v>400</v>
      </c>
      <c r="I66" s="4" t="s">
        <v>400</v>
      </c>
      <c r="J66" s="35">
        <v>5.07</v>
      </c>
    </row>
    <row r="67" spans="2:10">
      <c r="B67" s="30">
        <v>45635</v>
      </c>
      <c r="C67" s="30" t="s">
        <v>419</v>
      </c>
      <c r="D67" s="4" t="s">
        <v>111</v>
      </c>
      <c r="E67" s="4" t="s">
        <v>409</v>
      </c>
      <c r="F67" s="4" t="s">
        <v>395</v>
      </c>
      <c r="G67" s="31">
        <v>3</v>
      </c>
      <c r="H67" s="4" t="s">
        <v>399</v>
      </c>
      <c r="I67" s="4" t="s">
        <v>398</v>
      </c>
      <c r="J67" s="35">
        <v>12.06</v>
      </c>
    </row>
    <row r="68" spans="2:10">
      <c r="B68" s="30">
        <v>45628</v>
      </c>
      <c r="C68" s="30" t="s">
        <v>419</v>
      </c>
      <c r="D68" s="4" t="s">
        <v>111</v>
      </c>
      <c r="E68" s="4" t="s">
        <v>407</v>
      </c>
      <c r="F68" s="4" t="s">
        <v>395</v>
      </c>
      <c r="G68" s="31">
        <v>3</v>
      </c>
      <c r="H68" s="4" t="s">
        <v>399</v>
      </c>
      <c r="I68" s="4" t="s">
        <v>400</v>
      </c>
      <c r="J68" s="35">
        <v>9.68</v>
      </c>
    </row>
  </sheetData>
  <autoFilter ref="B2:J68" xr:uid="{1ED427C4-B609-4678-8133-B4F66F585697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B1696-1127-4BFB-90AB-66B0FC1A8F60}">
  <sheetPr>
    <tabColor rgb="FFFF0066"/>
  </sheetPr>
  <dimension ref="A1:G28"/>
  <sheetViews>
    <sheetView workbookViewId="0">
      <selection activeCell="D34" sqref="D34"/>
    </sheetView>
  </sheetViews>
  <sheetFormatPr defaultRowHeight="14.4"/>
  <cols>
    <col min="1" max="2" width="11.88671875" style="9" customWidth="1"/>
    <col min="3" max="4" width="17.44140625" style="9" customWidth="1"/>
    <col min="5" max="5" width="15.109375" style="9" customWidth="1"/>
    <col min="6" max="6" width="17.21875" style="9" customWidth="1"/>
    <col min="7" max="7" width="14.5546875" customWidth="1"/>
    <col min="8" max="8" width="11.5546875" customWidth="1"/>
  </cols>
  <sheetData>
    <row r="1" spans="1:7">
      <c r="F1" s="72"/>
      <c r="G1" s="9"/>
    </row>
    <row r="2" spans="1:7">
      <c r="A2" s="5" t="s">
        <v>411</v>
      </c>
      <c r="B2" s="5" t="s">
        <v>418</v>
      </c>
      <c r="C2" s="5" t="s">
        <v>102</v>
      </c>
      <c r="D2" s="5" t="s">
        <v>389</v>
      </c>
      <c r="E2" s="5" t="s">
        <v>23</v>
      </c>
      <c r="F2" s="5" t="s">
        <v>426</v>
      </c>
      <c r="G2" s="44" t="s">
        <v>413</v>
      </c>
    </row>
    <row r="3" spans="1:7">
      <c r="A3" s="30">
        <v>45740</v>
      </c>
      <c r="B3" s="30" t="s">
        <v>420</v>
      </c>
      <c r="C3" s="4" t="s">
        <v>118</v>
      </c>
      <c r="D3" s="4" t="s">
        <v>414</v>
      </c>
      <c r="E3" s="4" t="s">
        <v>403</v>
      </c>
      <c r="F3" s="31" t="s">
        <v>404</v>
      </c>
      <c r="G3" s="35">
        <v>26.288117770767613</v>
      </c>
    </row>
    <row r="4" spans="1:7">
      <c r="A4" s="30">
        <v>45740</v>
      </c>
      <c r="B4" s="30" t="s">
        <v>420</v>
      </c>
      <c r="C4" s="4" t="s">
        <v>118</v>
      </c>
      <c r="D4" s="4" t="s">
        <v>415</v>
      </c>
      <c r="E4" s="4" t="s">
        <v>406</v>
      </c>
      <c r="F4" s="31" t="s">
        <v>405</v>
      </c>
      <c r="G4" s="35">
        <v>17.875920084121976</v>
      </c>
    </row>
    <row r="5" spans="1:7">
      <c r="A5" s="30">
        <v>45740</v>
      </c>
      <c r="B5" s="30" t="s">
        <v>420</v>
      </c>
      <c r="C5" s="4" t="s">
        <v>117</v>
      </c>
      <c r="D5" s="4" t="s">
        <v>414</v>
      </c>
      <c r="E5" s="4" t="s">
        <v>403</v>
      </c>
      <c r="F5" s="31" t="s">
        <v>404</v>
      </c>
      <c r="G5" s="35">
        <v>7.2292323869610939</v>
      </c>
    </row>
    <row r="6" spans="1:7">
      <c r="A6" s="30">
        <v>45740</v>
      </c>
      <c r="B6" s="30" t="s">
        <v>420</v>
      </c>
      <c r="C6" s="4" t="s">
        <v>117</v>
      </c>
      <c r="D6" s="4" t="s">
        <v>415</v>
      </c>
      <c r="E6" s="4" t="s">
        <v>406</v>
      </c>
      <c r="F6" s="31" t="s">
        <v>405</v>
      </c>
      <c r="G6" s="35">
        <v>4.8251840168243953</v>
      </c>
    </row>
    <row r="7" spans="1:7">
      <c r="A7" s="30">
        <v>45740</v>
      </c>
      <c r="B7" s="30" t="s">
        <v>420</v>
      </c>
      <c r="C7" s="4" t="s">
        <v>114</v>
      </c>
      <c r="D7" s="4" t="s">
        <v>414</v>
      </c>
      <c r="E7" s="4" t="s">
        <v>403</v>
      </c>
      <c r="F7" s="31" t="s">
        <v>404</v>
      </c>
      <c r="G7" s="35">
        <v>2.6288117770767614</v>
      </c>
    </row>
    <row r="8" spans="1:7">
      <c r="A8" s="30">
        <v>45740</v>
      </c>
      <c r="B8" s="30" t="s">
        <v>420</v>
      </c>
      <c r="C8" s="4" t="s">
        <v>114</v>
      </c>
      <c r="D8" s="4" t="s">
        <v>415</v>
      </c>
      <c r="E8" s="4" t="s">
        <v>406</v>
      </c>
      <c r="F8" s="31" t="s">
        <v>405</v>
      </c>
      <c r="G8" s="35">
        <v>2.3659305993690851</v>
      </c>
    </row>
    <row r="9" spans="1:7">
      <c r="A9" s="30">
        <v>45740</v>
      </c>
      <c r="B9" s="30" t="s">
        <v>420</v>
      </c>
      <c r="C9" s="4" t="s">
        <v>120</v>
      </c>
      <c r="D9" s="4" t="s">
        <v>414</v>
      </c>
      <c r="E9" s="4" t="s">
        <v>403</v>
      </c>
      <c r="F9" s="31" t="s">
        <v>404</v>
      </c>
      <c r="G9" s="35">
        <v>15.772870662460567</v>
      </c>
    </row>
    <row r="10" spans="1:7">
      <c r="A10" s="30">
        <v>45740</v>
      </c>
      <c r="B10" s="30" t="s">
        <v>420</v>
      </c>
      <c r="C10" s="4" t="s">
        <v>120</v>
      </c>
      <c r="D10" s="4" t="s">
        <v>415</v>
      </c>
      <c r="E10" s="4" t="s">
        <v>406</v>
      </c>
      <c r="F10" s="31" t="s">
        <v>405</v>
      </c>
      <c r="G10" s="35">
        <v>7.6498422712933758</v>
      </c>
    </row>
    <row r="11" spans="1:7">
      <c r="A11" s="30">
        <v>45740</v>
      </c>
      <c r="B11" s="30" t="s">
        <v>420</v>
      </c>
      <c r="C11" s="4" t="s">
        <v>116</v>
      </c>
      <c r="D11" s="4" t="s">
        <v>414</v>
      </c>
      <c r="E11" s="4" t="s">
        <v>403</v>
      </c>
      <c r="F11" s="31" t="s">
        <v>404</v>
      </c>
      <c r="G11" s="35">
        <v>10.515247108307046</v>
      </c>
    </row>
    <row r="12" spans="1:7">
      <c r="A12" s="30">
        <v>45740</v>
      </c>
      <c r="B12" s="30" t="s">
        <v>420</v>
      </c>
      <c r="C12" s="4" t="s">
        <v>116</v>
      </c>
      <c r="D12" s="4" t="s">
        <v>415</v>
      </c>
      <c r="E12" s="4" t="s">
        <v>406</v>
      </c>
      <c r="F12" s="31" t="s">
        <v>405</v>
      </c>
      <c r="G12" s="35">
        <v>12.749737118822292</v>
      </c>
    </row>
    <row r="13" spans="1:7">
      <c r="A13" s="30">
        <v>45740</v>
      </c>
      <c r="B13" s="30" t="s">
        <v>420</v>
      </c>
      <c r="C13" s="4" t="s">
        <v>115</v>
      </c>
      <c r="D13" s="4" t="s">
        <v>414</v>
      </c>
      <c r="E13" s="4" t="s">
        <v>403</v>
      </c>
      <c r="F13" s="31" t="s">
        <v>404</v>
      </c>
      <c r="G13" s="35">
        <v>9.2008412197686642</v>
      </c>
    </row>
    <row r="14" spans="1:7">
      <c r="A14" s="30">
        <v>45740</v>
      </c>
      <c r="B14" s="30" t="s">
        <v>420</v>
      </c>
      <c r="C14" s="4" t="s">
        <v>115</v>
      </c>
      <c r="D14" s="4" t="s">
        <v>415</v>
      </c>
      <c r="E14" s="4" t="s">
        <v>406</v>
      </c>
      <c r="F14" s="31" t="s">
        <v>405</v>
      </c>
      <c r="G14" s="35">
        <v>5.3627760252365935</v>
      </c>
    </row>
    <row r="15" spans="1:7">
      <c r="A15" s="30">
        <v>45740</v>
      </c>
      <c r="B15" s="30" t="s">
        <v>420</v>
      </c>
      <c r="C15" s="4" t="s">
        <v>110</v>
      </c>
      <c r="D15" s="4" t="s">
        <v>414</v>
      </c>
      <c r="E15" s="4" t="s">
        <v>403</v>
      </c>
      <c r="F15" s="31" t="s">
        <v>404</v>
      </c>
      <c r="G15" s="35">
        <v>5.2576235541535228</v>
      </c>
    </row>
    <row r="16" spans="1:7">
      <c r="A16" s="30">
        <v>45740</v>
      </c>
      <c r="B16" s="30" t="s">
        <v>420</v>
      </c>
      <c r="C16" s="4" t="s">
        <v>110</v>
      </c>
      <c r="D16" s="4" t="s">
        <v>415</v>
      </c>
      <c r="E16" s="4" t="s">
        <v>406</v>
      </c>
      <c r="F16" s="31" t="s">
        <v>405</v>
      </c>
      <c r="G16" s="35">
        <v>3.4700315457413251</v>
      </c>
    </row>
    <row r="17" spans="1:7">
      <c r="A17" s="30">
        <v>45740</v>
      </c>
      <c r="B17" s="30" t="s">
        <v>420</v>
      </c>
      <c r="C17" s="4" t="s">
        <v>109</v>
      </c>
      <c r="D17" s="4" t="s">
        <v>414</v>
      </c>
      <c r="E17" s="4" t="s">
        <v>403</v>
      </c>
      <c r="F17" s="31" t="s">
        <v>404</v>
      </c>
      <c r="G17" s="35">
        <v>3.2860147213459516</v>
      </c>
    </row>
    <row r="18" spans="1:7">
      <c r="A18" s="30">
        <v>45740</v>
      </c>
      <c r="B18" s="30" t="s">
        <v>420</v>
      </c>
      <c r="C18" s="4" t="s">
        <v>109</v>
      </c>
      <c r="D18" s="4" t="s">
        <v>415</v>
      </c>
      <c r="E18" s="4" t="s">
        <v>406</v>
      </c>
      <c r="F18" s="31" t="s">
        <v>405</v>
      </c>
      <c r="G18" s="35">
        <v>2.6288117770767614</v>
      </c>
    </row>
    <row r="19" spans="1:7">
      <c r="A19" s="30">
        <v>45740</v>
      </c>
      <c r="B19" s="30" t="s">
        <v>420</v>
      </c>
      <c r="C19" s="4" t="s">
        <v>114</v>
      </c>
      <c r="D19" s="4" t="s">
        <v>414</v>
      </c>
      <c r="E19" s="4" t="s">
        <v>403</v>
      </c>
      <c r="F19" s="31" t="s">
        <v>404</v>
      </c>
      <c r="G19" s="35">
        <v>2.6288117770767614</v>
      </c>
    </row>
    <row r="20" spans="1:7">
      <c r="A20" s="30">
        <v>45740</v>
      </c>
      <c r="B20" s="30" t="s">
        <v>420</v>
      </c>
      <c r="C20" s="4" t="s">
        <v>114</v>
      </c>
      <c r="D20" s="4" t="s">
        <v>415</v>
      </c>
      <c r="E20" s="4" t="s">
        <v>406</v>
      </c>
      <c r="F20" s="31" t="s">
        <v>405</v>
      </c>
      <c r="G20" s="35">
        <v>2.3659305993690851</v>
      </c>
    </row>
    <row r="21" spans="1:7">
      <c r="A21" s="30">
        <v>45740</v>
      </c>
      <c r="B21" s="30" t="s">
        <v>420</v>
      </c>
      <c r="C21" s="4" t="s">
        <v>119</v>
      </c>
      <c r="D21" s="4" t="s">
        <v>414</v>
      </c>
      <c r="E21" s="4" t="s">
        <v>403</v>
      </c>
      <c r="F21" s="31" t="s">
        <v>404</v>
      </c>
      <c r="G21" s="35">
        <v>1.9716088328075709</v>
      </c>
    </row>
    <row r="22" spans="1:7">
      <c r="A22" s="30">
        <v>45740</v>
      </c>
      <c r="B22" s="30" t="s">
        <v>420</v>
      </c>
      <c r="C22" s="4" t="s">
        <v>119</v>
      </c>
      <c r="D22" s="4" t="s">
        <v>415</v>
      </c>
      <c r="E22" s="4" t="s">
        <v>406</v>
      </c>
      <c r="F22" s="31" t="s">
        <v>405</v>
      </c>
      <c r="G22" s="35">
        <v>1.7087276550998949</v>
      </c>
    </row>
    <row r="23" spans="1:7">
      <c r="A23" s="30">
        <v>45740</v>
      </c>
      <c r="B23" s="30" t="s">
        <v>420</v>
      </c>
      <c r="C23" s="4" t="s">
        <v>105</v>
      </c>
      <c r="D23" s="4" t="s">
        <v>414</v>
      </c>
      <c r="E23" s="4" t="s">
        <v>403</v>
      </c>
      <c r="F23" s="31" t="s">
        <v>404</v>
      </c>
      <c r="G23" s="35">
        <v>1.5772870662460567</v>
      </c>
    </row>
    <row r="24" spans="1:7">
      <c r="A24" s="30">
        <v>45740</v>
      </c>
      <c r="B24" s="30" t="s">
        <v>420</v>
      </c>
      <c r="C24" s="4" t="s">
        <v>105</v>
      </c>
      <c r="D24" s="4" t="s">
        <v>415</v>
      </c>
      <c r="E24" s="4" t="s">
        <v>406</v>
      </c>
      <c r="F24" s="31" t="s">
        <v>405</v>
      </c>
      <c r="G24" s="35">
        <v>1.6338065194532072</v>
      </c>
    </row>
    <row r="25" spans="1:7">
      <c r="A25" s="30">
        <v>45740</v>
      </c>
      <c r="B25" s="30" t="s">
        <v>420</v>
      </c>
      <c r="C25" s="4" t="s">
        <v>106</v>
      </c>
      <c r="D25" s="4" t="s">
        <v>414</v>
      </c>
      <c r="E25" s="4" t="s">
        <v>403</v>
      </c>
      <c r="F25" s="31" t="s">
        <v>404</v>
      </c>
      <c r="G25" s="35">
        <v>1.3144058885383807</v>
      </c>
    </row>
    <row r="26" spans="1:7">
      <c r="A26" s="30">
        <v>45740</v>
      </c>
      <c r="B26" s="30" t="s">
        <v>420</v>
      </c>
      <c r="C26" s="4" t="s">
        <v>106</v>
      </c>
      <c r="D26" s="4" t="s">
        <v>415</v>
      </c>
      <c r="E26" s="4" t="s">
        <v>406</v>
      </c>
      <c r="F26" s="31" t="s">
        <v>405</v>
      </c>
      <c r="G26" s="35">
        <v>1.0515247108307046</v>
      </c>
    </row>
    <row r="27" spans="1:7">
      <c r="A27" s="30">
        <v>45740</v>
      </c>
      <c r="B27" s="30" t="s">
        <v>420</v>
      </c>
      <c r="C27" s="4" t="s">
        <v>111</v>
      </c>
      <c r="D27" s="4" t="s">
        <v>415</v>
      </c>
      <c r="E27" s="4" t="s">
        <v>406</v>
      </c>
      <c r="F27" s="31" t="s">
        <v>405</v>
      </c>
      <c r="G27" s="35">
        <v>0.71503680336487907</v>
      </c>
    </row>
    <row r="28" spans="1:7">
      <c r="A28" s="30">
        <v>45740</v>
      </c>
      <c r="B28" s="30" t="s">
        <v>420</v>
      </c>
      <c r="C28" s="4" t="s">
        <v>104</v>
      </c>
      <c r="D28" s="4" t="s">
        <v>415</v>
      </c>
      <c r="E28" s="4" t="s">
        <v>406</v>
      </c>
      <c r="F28" s="31" t="s">
        <v>405</v>
      </c>
      <c r="G28" s="35">
        <v>0.61251314405888546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5C855-9766-4D10-AF48-0657519A5535}">
  <dimension ref="A2:L15"/>
  <sheetViews>
    <sheetView zoomScale="70" zoomScaleNormal="70" workbookViewId="0">
      <selection activeCell="E24" sqref="E24"/>
    </sheetView>
  </sheetViews>
  <sheetFormatPr defaultRowHeight="14.4"/>
  <cols>
    <col min="1" max="2" width="12.44140625" style="9" customWidth="1"/>
    <col min="3" max="4" width="17.109375" customWidth="1"/>
    <col min="5" max="5" width="20.6640625" customWidth="1"/>
    <col min="6" max="6" width="16.33203125" style="9" customWidth="1"/>
    <col min="7" max="7" width="24.33203125" style="9" customWidth="1"/>
    <col min="8" max="8" width="19.109375" style="9" bestFit="1" customWidth="1"/>
    <col min="9" max="9" width="16.5546875" style="9" customWidth="1"/>
    <col min="10" max="10" width="19.21875" style="9" customWidth="1"/>
    <col min="11" max="11" width="19" style="9" customWidth="1"/>
    <col min="12" max="12" width="17.44140625" style="9" customWidth="1"/>
  </cols>
  <sheetData>
    <row r="2" spans="1:12">
      <c r="A2" s="5" t="s">
        <v>411</v>
      </c>
      <c r="B2" s="5" t="s">
        <v>418</v>
      </c>
      <c r="C2" s="5" t="s">
        <v>103</v>
      </c>
      <c r="D2" s="5" t="s">
        <v>389</v>
      </c>
      <c r="E2" s="5" t="s">
        <v>276</v>
      </c>
      <c r="F2" s="5" t="s">
        <v>427</v>
      </c>
      <c r="G2" s="5" t="s">
        <v>428</v>
      </c>
      <c r="H2" s="5" t="s">
        <v>429</v>
      </c>
      <c r="I2" s="5" t="s">
        <v>430</v>
      </c>
      <c r="J2" s="5" t="s">
        <v>431</v>
      </c>
      <c r="K2" s="5" t="s">
        <v>432</v>
      </c>
      <c r="L2" s="44" t="s">
        <v>413</v>
      </c>
    </row>
    <row r="3" spans="1:12">
      <c r="A3" s="30">
        <v>44781</v>
      </c>
      <c r="B3" s="30" t="s">
        <v>421</v>
      </c>
      <c r="C3" s="4" t="s">
        <v>242</v>
      </c>
      <c r="D3" s="4" t="s">
        <v>422</v>
      </c>
      <c r="E3" s="4" t="s">
        <v>277</v>
      </c>
      <c r="F3" s="56">
        <v>3</v>
      </c>
      <c r="G3" s="57">
        <v>11</v>
      </c>
      <c r="H3" s="57">
        <v>3</v>
      </c>
      <c r="I3" s="57">
        <v>4.5999999999999996</v>
      </c>
      <c r="J3" s="57"/>
      <c r="K3" s="57">
        <v>5.75</v>
      </c>
      <c r="L3" s="32">
        <v>7300</v>
      </c>
    </row>
    <row r="4" spans="1:12">
      <c r="A4" s="30">
        <v>44781</v>
      </c>
      <c r="B4" s="30" t="s">
        <v>421</v>
      </c>
      <c r="C4" s="4" t="s">
        <v>242</v>
      </c>
      <c r="D4" s="4" t="s">
        <v>422</v>
      </c>
      <c r="E4" s="4" t="s">
        <v>277</v>
      </c>
      <c r="F4" s="56">
        <v>2</v>
      </c>
      <c r="G4" s="57">
        <v>11</v>
      </c>
      <c r="H4" s="57">
        <v>3</v>
      </c>
      <c r="I4" s="57">
        <v>8.9</v>
      </c>
      <c r="J4" s="57"/>
      <c r="K4" s="57">
        <v>10.15</v>
      </c>
      <c r="L4" s="32">
        <v>4500</v>
      </c>
    </row>
    <row r="5" spans="1:12">
      <c r="A5" s="30">
        <v>44781</v>
      </c>
      <c r="B5" s="30" t="s">
        <v>421</v>
      </c>
      <c r="C5" s="4" t="s">
        <v>242</v>
      </c>
      <c r="D5" s="4" t="s">
        <v>422</v>
      </c>
      <c r="E5" s="4" t="s">
        <v>277</v>
      </c>
      <c r="F5" s="56">
        <v>1</v>
      </c>
      <c r="G5" s="57">
        <v>11</v>
      </c>
      <c r="H5" s="57">
        <v>3</v>
      </c>
      <c r="I5" s="57">
        <v>5.3</v>
      </c>
      <c r="J5" s="57"/>
      <c r="K5" s="57">
        <v>6.55</v>
      </c>
      <c r="L5" s="32">
        <v>4500</v>
      </c>
    </row>
    <row r="6" spans="1:12">
      <c r="A6" s="30">
        <v>44781</v>
      </c>
      <c r="B6" s="30" t="s">
        <v>421</v>
      </c>
      <c r="C6" s="4" t="s">
        <v>35</v>
      </c>
      <c r="D6" s="4" t="s">
        <v>422</v>
      </c>
      <c r="E6" s="4" t="s">
        <v>277</v>
      </c>
      <c r="F6" s="56">
        <v>2.5</v>
      </c>
      <c r="G6" s="57">
        <v>13.8</v>
      </c>
      <c r="H6" s="57">
        <v>5.5</v>
      </c>
      <c r="I6" s="57">
        <v>15.4</v>
      </c>
      <c r="J6" s="57">
        <v>5.5</v>
      </c>
      <c r="K6" s="57">
        <v>30.8</v>
      </c>
      <c r="L6" s="32">
        <v>10050</v>
      </c>
    </row>
    <row r="7" spans="1:12">
      <c r="A7" s="30">
        <v>44781</v>
      </c>
      <c r="B7" s="30" t="s">
        <v>421</v>
      </c>
      <c r="C7" s="4" t="s">
        <v>242</v>
      </c>
      <c r="D7" s="4" t="s">
        <v>422</v>
      </c>
      <c r="E7" s="4" t="s">
        <v>277</v>
      </c>
      <c r="F7" s="56">
        <v>0.5</v>
      </c>
      <c r="G7" s="57">
        <v>7.4</v>
      </c>
      <c r="H7" s="57"/>
      <c r="I7" s="57">
        <v>9.5</v>
      </c>
      <c r="J7" s="57"/>
      <c r="K7" s="57">
        <v>10.5</v>
      </c>
      <c r="L7" s="32">
        <v>4250</v>
      </c>
    </row>
    <row r="8" spans="1:12">
      <c r="A8" s="30">
        <v>44781</v>
      </c>
      <c r="B8" s="30" t="s">
        <v>421</v>
      </c>
      <c r="C8" s="4" t="s">
        <v>35</v>
      </c>
      <c r="D8" s="4" t="s">
        <v>422</v>
      </c>
      <c r="E8" s="4" t="s">
        <v>277</v>
      </c>
      <c r="F8" s="56">
        <v>2.5</v>
      </c>
      <c r="G8" s="57">
        <v>6.1</v>
      </c>
      <c r="H8" s="57">
        <v>6.65</v>
      </c>
      <c r="I8" s="57">
        <v>18.2</v>
      </c>
      <c r="J8" s="57">
        <v>4.5</v>
      </c>
      <c r="K8" s="57">
        <v>36.4</v>
      </c>
      <c r="L8" s="32">
        <v>10250</v>
      </c>
    </row>
    <row r="9" spans="1:12">
      <c r="A9" s="30">
        <v>44781</v>
      </c>
      <c r="B9" s="30" t="s">
        <v>421</v>
      </c>
      <c r="C9" s="4" t="s">
        <v>242</v>
      </c>
      <c r="D9" s="4" t="s">
        <v>422</v>
      </c>
      <c r="E9" s="4" t="s">
        <v>277</v>
      </c>
      <c r="F9" s="56">
        <v>1</v>
      </c>
      <c r="G9" s="57">
        <v>7</v>
      </c>
      <c r="H9" s="57">
        <v>7.05</v>
      </c>
      <c r="I9" s="57">
        <v>11</v>
      </c>
      <c r="J9" s="57"/>
      <c r="K9" s="57">
        <v>12</v>
      </c>
      <c r="L9" s="32">
        <v>4250</v>
      </c>
    </row>
    <row r="10" spans="1:12">
      <c r="A10" s="30">
        <v>44781</v>
      </c>
      <c r="B10" s="30" t="s">
        <v>421</v>
      </c>
      <c r="C10" s="4" t="s">
        <v>243</v>
      </c>
      <c r="D10" s="4" t="s">
        <v>422</v>
      </c>
      <c r="E10" s="4" t="s">
        <v>278</v>
      </c>
      <c r="F10" s="56">
        <v>8</v>
      </c>
      <c r="G10" s="57">
        <v>3.87</v>
      </c>
      <c r="H10" s="57">
        <v>5.7</v>
      </c>
      <c r="I10" s="57">
        <v>10.3</v>
      </c>
      <c r="J10" s="57">
        <v>5</v>
      </c>
      <c r="K10" s="57">
        <v>20.6</v>
      </c>
      <c r="L10" s="32">
        <v>12400</v>
      </c>
    </row>
    <row r="11" spans="1:12">
      <c r="A11" s="30">
        <v>44781</v>
      </c>
      <c r="B11" s="30" t="s">
        <v>421</v>
      </c>
      <c r="C11" s="4" t="s">
        <v>243</v>
      </c>
      <c r="D11" s="4" t="s">
        <v>422</v>
      </c>
      <c r="E11" s="4" t="s">
        <v>278</v>
      </c>
      <c r="F11" s="56">
        <v>5</v>
      </c>
      <c r="G11" s="57">
        <v>3.87</v>
      </c>
      <c r="H11" s="57">
        <v>4.32</v>
      </c>
      <c r="I11" s="57">
        <v>10.3</v>
      </c>
      <c r="J11" s="57">
        <v>5</v>
      </c>
      <c r="K11" s="57">
        <v>20.6</v>
      </c>
      <c r="L11" s="32">
        <v>10350</v>
      </c>
    </row>
    <row r="12" spans="1:12">
      <c r="A12" s="30">
        <v>44781</v>
      </c>
      <c r="B12" s="30" t="s">
        <v>421</v>
      </c>
      <c r="C12" s="4" t="s">
        <v>27</v>
      </c>
      <c r="D12" s="4" t="s">
        <v>422</v>
      </c>
      <c r="E12" s="4" t="s">
        <v>277</v>
      </c>
      <c r="F12" s="56">
        <v>1</v>
      </c>
      <c r="G12" s="57">
        <v>4</v>
      </c>
      <c r="H12" s="57">
        <v>1.3</v>
      </c>
      <c r="I12" s="57">
        <v>4.4000000000000004</v>
      </c>
      <c r="J12" s="57"/>
      <c r="K12" s="57">
        <v>5.4</v>
      </c>
      <c r="L12" s="32">
        <v>4250</v>
      </c>
    </row>
    <row r="13" spans="1:12">
      <c r="A13" s="30">
        <v>44781</v>
      </c>
      <c r="B13" s="30" t="s">
        <v>421</v>
      </c>
      <c r="C13" s="4" t="s">
        <v>35</v>
      </c>
      <c r="D13" s="4" t="s">
        <v>422</v>
      </c>
      <c r="E13" s="4" t="s">
        <v>277</v>
      </c>
      <c r="F13" s="56">
        <v>4</v>
      </c>
      <c r="G13" s="57">
        <v>4</v>
      </c>
      <c r="H13" s="57">
        <v>5.8</v>
      </c>
      <c r="I13" s="57">
        <v>8.8000000000000007</v>
      </c>
      <c r="J13" s="57">
        <v>4.7</v>
      </c>
      <c r="K13" s="57">
        <v>17.600000000000001</v>
      </c>
      <c r="L13" s="32">
        <v>10350</v>
      </c>
    </row>
    <row r="14" spans="1:12">
      <c r="A14" s="30">
        <v>44781</v>
      </c>
      <c r="B14" s="30" t="s">
        <v>421</v>
      </c>
      <c r="C14" s="4" t="s">
        <v>27</v>
      </c>
      <c r="D14" s="4" t="s">
        <v>422</v>
      </c>
      <c r="E14" s="4" t="s">
        <v>277</v>
      </c>
      <c r="F14" s="56">
        <v>0.5</v>
      </c>
      <c r="G14" s="57">
        <v>8.8000000000000007</v>
      </c>
      <c r="H14" s="57">
        <v>1.4</v>
      </c>
      <c r="I14" s="57">
        <v>4</v>
      </c>
      <c r="J14" s="57"/>
      <c r="K14" s="57">
        <v>5.7</v>
      </c>
      <c r="L14" s="32">
        <v>4350</v>
      </c>
    </row>
    <row r="15" spans="1:12">
      <c r="A15" s="30">
        <v>44781</v>
      </c>
      <c r="B15" s="30" t="s">
        <v>421</v>
      </c>
      <c r="C15" s="4" t="s">
        <v>35</v>
      </c>
      <c r="D15" s="4" t="s">
        <v>422</v>
      </c>
      <c r="E15" s="4" t="s">
        <v>277</v>
      </c>
      <c r="F15" s="56">
        <v>3</v>
      </c>
      <c r="G15" s="57">
        <v>3</v>
      </c>
      <c r="H15" s="57">
        <v>6.7</v>
      </c>
      <c r="I15" s="57">
        <v>9.1999999999999993</v>
      </c>
      <c r="J15" s="57">
        <v>4.4000000000000004</v>
      </c>
      <c r="K15" s="57">
        <v>18.399999999999999</v>
      </c>
      <c r="L15" s="32">
        <v>8200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004FC-0F94-41F3-8C81-9DD3B4BF1B33}">
  <dimension ref="A2:L9"/>
  <sheetViews>
    <sheetView workbookViewId="0">
      <selection activeCell="D16" sqref="D16"/>
    </sheetView>
  </sheetViews>
  <sheetFormatPr defaultRowHeight="14.4"/>
  <cols>
    <col min="1" max="1" width="12.6640625" style="9" customWidth="1"/>
    <col min="2" max="3" width="13.44140625" style="9" customWidth="1"/>
    <col min="4" max="4" width="13.77734375" style="9" bestFit="1" customWidth="1"/>
    <col min="5" max="5" width="13.6640625" style="9" bestFit="1" customWidth="1"/>
    <col min="6" max="8" width="13.6640625" style="9" customWidth="1"/>
    <col min="9" max="9" width="14.21875" style="9" customWidth="1"/>
    <col min="11" max="11" width="12.5546875" bestFit="1" customWidth="1"/>
    <col min="12" max="12" width="12.21875" customWidth="1"/>
  </cols>
  <sheetData>
    <row r="2" spans="1:12">
      <c r="A2" s="80" t="s">
        <v>411</v>
      </c>
      <c r="B2" s="80" t="s">
        <v>266</v>
      </c>
      <c r="C2" s="80" t="s">
        <v>389</v>
      </c>
      <c r="D2" s="80" t="s">
        <v>265</v>
      </c>
      <c r="E2" s="80" t="s">
        <v>264</v>
      </c>
      <c r="F2" s="80" t="s">
        <v>267</v>
      </c>
      <c r="G2" s="80" t="s">
        <v>268</v>
      </c>
      <c r="H2" s="80" t="s">
        <v>271</v>
      </c>
      <c r="I2" s="80" t="s">
        <v>413</v>
      </c>
      <c r="J2" s="8"/>
      <c r="K2" s="8"/>
      <c r="L2" s="8"/>
    </row>
    <row r="3" spans="1:12">
      <c r="A3" s="30">
        <v>45647</v>
      </c>
      <c r="B3" s="4" t="s">
        <v>25</v>
      </c>
      <c r="C3" s="4" t="s">
        <v>416</v>
      </c>
      <c r="D3" s="4">
        <v>140</v>
      </c>
      <c r="E3" s="4">
        <v>140</v>
      </c>
      <c r="F3" s="4">
        <v>0.75</v>
      </c>
      <c r="G3" s="4" t="s">
        <v>269</v>
      </c>
      <c r="H3" s="4" t="s">
        <v>41</v>
      </c>
      <c r="I3" s="41">
        <v>3656</v>
      </c>
      <c r="J3" s="8"/>
      <c r="K3" s="8"/>
      <c r="L3" s="8"/>
    </row>
    <row r="4" spans="1:12">
      <c r="A4" s="30">
        <v>45647</v>
      </c>
      <c r="B4" s="4" t="s">
        <v>25</v>
      </c>
      <c r="C4" s="4" t="s">
        <v>416</v>
      </c>
      <c r="D4" s="4">
        <v>190</v>
      </c>
      <c r="E4" s="4">
        <v>70</v>
      </c>
      <c r="F4" s="4">
        <v>0.75</v>
      </c>
      <c r="G4" s="4" t="s">
        <v>270</v>
      </c>
      <c r="H4" s="4" t="s">
        <v>41</v>
      </c>
      <c r="I4" s="41">
        <v>4700</v>
      </c>
      <c r="J4" s="8"/>
      <c r="K4" s="8"/>
      <c r="L4" s="8"/>
    </row>
    <row r="5" spans="1:12">
      <c r="A5" s="30">
        <v>45647</v>
      </c>
      <c r="B5" s="4" t="s">
        <v>25</v>
      </c>
      <c r="C5" s="4" t="s">
        <v>416</v>
      </c>
      <c r="D5" s="4">
        <v>170</v>
      </c>
      <c r="E5" s="4">
        <v>70</v>
      </c>
      <c r="F5" s="4">
        <v>0.75</v>
      </c>
      <c r="G5" s="4" t="s">
        <v>269</v>
      </c>
      <c r="H5" s="4" t="s">
        <v>41</v>
      </c>
      <c r="I5" s="41">
        <v>4500</v>
      </c>
      <c r="J5" s="8"/>
      <c r="K5" s="8"/>
      <c r="L5" s="8"/>
    </row>
    <row r="6" spans="1:12">
      <c r="A6" s="30">
        <v>45647</v>
      </c>
      <c r="B6" s="4" t="s">
        <v>25</v>
      </c>
      <c r="C6" s="4" t="s">
        <v>416</v>
      </c>
      <c r="D6" s="4">
        <v>240</v>
      </c>
      <c r="E6" s="4">
        <v>170</v>
      </c>
      <c r="F6" s="4">
        <v>0.75</v>
      </c>
      <c r="G6" s="4" t="s">
        <v>269</v>
      </c>
      <c r="H6" s="4" t="s">
        <v>41</v>
      </c>
      <c r="I6" s="41">
        <v>7750</v>
      </c>
      <c r="J6" s="8"/>
      <c r="K6" s="8"/>
      <c r="L6" s="8"/>
    </row>
    <row r="7" spans="1:12">
      <c r="A7" s="30">
        <v>45647</v>
      </c>
      <c r="B7" s="4" t="s">
        <v>25</v>
      </c>
      <c r="C7" s="4" t="s">
        <v>416</v>
      </c>
      <c r="D7" s="4">
        <v>170</v>
      </c>
      <c r="E7" s="4">
        <v>220</v>
      </c>
      <c r="F7" s="4">
        <v>0.75</v>
      </c>
      <c r="G7" s="4" t="s">
        <v>269</v>
      </c>
      <c r="H7" s="4" t="s">
        <v>41</v>
      </c>
      <c r="I7" s="41">
        <v>7300</v>
      </c>
      <c r="J7" s="8"/>
      <c r="K7" s="8"/>
      <c r="L7" s="8"/>
    </row>
    <row r="8" spans="1:12">
      <c r="A8" s="30">
        <v>45647</v>
      </c>
      <c r="B8" s="4" t="s">
        <v>25</v>
      </c>
      <c r="C8" s="4" t="s">
        <v>416</v>
      </c>
      <c r="D8" s="4">
        <v>160</v>
      </c>
      <c r="E8" s="4">
        <v>120</v>
      </c>
      <c r="F8" s="4">
        <v>0.75</v>
      </c>
      <c r="G8" s="4" t="s">
        <v>269</v>
      </c>
      <c r="H8" s="4" t="s">
        <v>41</v>
      </c>
      <c r="I8" s="41">
        <v>3000</v>
      </c>
      <c r="J8" s="54"/>
      <c r="K8" s="9"/>
      <c r="L8" s="38"/>
    </row>
    <row r="9" spans="1:12">
      <c r="A9" s="30">
        <v>45644</v>
      </c>
      <c r="B9" s="4" t="s">
        <v>25</v>
      </c>
      <c r="C9" s="4" t="s">
        <v>417</v>
      </c>
      <c r="D9" s="4">
        <v>40</v>
      </c>
      <c r="E9" s="4">
        <v>100</v>
      </c>
      <c r="F9" s="4">
        <v>0</v>
      </c>
      <c r="G9" s="4" t="s">
        <v>269</v>
      </c>
      <c r="H9" s="4" t="s">
        <v>140</v>
      </c>
      <c r="I9" s="41">
        <v>2200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2B693-B76E-405D-A5F1-7F1C478117A5}">
  <sheetPr>
    <tabColor rgb="FFFF0066"/>
  </sheetPr>
  <dimension ref="A1:K32"/>
  <sheetViews>
    <sheetView topLeftCell="A4" zoomScale="70" zoomScaleNormal="70" workbookViewId="0">
      <selection activeCell="O8" sqref="O8"/>
    </sheetView>
  </sheetViews>
  <sheetFormatPr defaultRowHeight="34.950000000000003" customHeight="1"/>
  <cols>
    <col min="1" max="2" width="13.109375" customWidth="1"/>
    <col min="3" max="3" width="34.33203125" style="8" customWidth="1"/>
    <col min="4" max="4" width="19.77734375" style="8" customWidth="1"/>
    <col min="5" max="5" width="16.44140625" style="9" customWidth="1"/>
    <col min="6" max="6" width="17.88671875" style="9" customWidth="1"/>
    <col min="7" max="7" width="17.6640625" style="9" customWidth="1"/>
    <col min="8" max="8" width="17.109375" style="9" customWidth="1"/>
    <col min="9" max="9" width="20.6640625" style="68" customWidth="1"/>
    <col min="10" max="10" width="23" style="68" customWidth="1"/>
    <col min="11" max="11" width="17.88671875" style="9" customWidth="1"/>
  </cols>
  <sheetData>
    <row r="1" spans="1:11" ht="15" customHeight="1">
      <c r="A1" s="9"/>
      <c r="B1" s="9"/>
      <c r="C1" s="9"/>
      <c r="D1" s="9"/>
      <c r="I1" s="79"/>
    </row>
    <row r="2" spans="1:11" ht="34.950000000000003" customHeight="1">
      <c r="A2" s="5" t="s">
        <v>411</v>
      </c>
      <c r="B2" s="5" t="s">
        <v>418</v>
      </c>
      <c r="C2" s="5" t="s">
        <v>11</v>
      </c>
      <c r="D2" s="5" t="s">
        <v>389</v>
      </c>
      <c r="E2" s="5" t="s">
        <v>279</v>
      </c>
      <c r="F2" s="5" t="s">
        <v>184</v>
      </c>
      <c r="G2" s="5" t="s">
        <v>185</v>
      </c>
      <c r="H2" s="5" t="s">
        <v>186</v>
      </c>
      <c r="I2" s="69" t="s">
        <v>194</v>
      </c>
      <c r="J2" s="69" t="s">
        <v>410</v>
      </c>
      <c r="K2" s="44" t="s">
        <v>412</v>
      </c>
    </row>
    <row r="3" spans="1:11" ht="34.950000000000003" customHeight="1">
      <c r="A3" s="30">
        <v>44622</v>
      </c>
      <c r="B3" s="30" t="s">
        <v>29</v>
      </c>
      <c r="C3" s="4" t="s">
        <v>187</v>
      </c>
      <c r="D3" s="4" t="s">
        <v>181</v>
      </c>
      <c r="E3" s="4" t="s">
        <v>280</v>
      </c>
      <c r="F3" s="59">
        <v>5</v>
      </c>
      <c r="G3" s="58">
        <v>14</v>
      </c>
      <c r="H3" s="53">
        <v>1.7</v>
      </c>
      <c r="I3" s="60"/>
      <c r="J3" s="61" t="s">
        <v>182</v>
      </c>
      <c r="K3" s="41">
        <v>507.5</v>
      </c>
    </row>
    <row r="4" spans="1:11" ht="34.950000000000003" customHeight="1">
      <c r="A4" s="30">
        <v>44622</v>
      </c>
      <c r="B4" s="30" t="s">
        <v>29</v>
      </c>
      <c r="C4" s="4" t="s">
        <v>188</v>
      </c>
      <c r="D4" s="4" t="s">
        <v>181</v>
      </c>
      <c r="E4" s="4" t="s">
        <v>280</v>
      </c>
      <c r="F4" s="59">
        <v>576</v>
      </c>
      <c r="G4" s="58">
        <v>11</v>
      </c>
      <c r="H4" s="53">
        <v>30</v>
      </c>
      <c r="I4" s="60"/>
      <c r="J4" s="61" t="s">
        <v>183</v>
      </c>
      <c r="K4" s="41">
        <v>6280.72</v>
      </c>
    </row>
    <row r="5" spans="1:11" ht="34.950000000000003" customHeight="1">
      <c r="A5" s="30">
        <v>44622</v>
      </c>
      <c r="B5" s="30" t="s">
        <v>29</v>
      </c>
      <c r="C5" s="4" t="s">
        <v>189</v>
      </c>
      <c r="D5" s="4" t="s">
        <v>181</v>
      </c>
      <c r="E5" s="4" t="s">
        <v>280</v>
      </c>
      <c r="F5" s="59">
        <v>36</v>
      </c>
      <c r="G5" s="58">
        <v>8</v>
      </c>
      <c r="H5" s="53">
        <v>1.7</v>
      </c>
      <c r="I5" s="60"/>
      <c r="J5" s="61" t="s">
        <v>182</v>
      </c>
      <c r="K5" s="41">
        <v>507.5</v>
      </c>
    </row>
    <row r="6" spans="1:11" ht="34.950000000000003" customHeight="1">
      <c r="A6" s="30">
        <v>44622</v>
      </c>
      <c r="B6" s="30" t="s">
        <v>29</v>
      </c>
      <c r="C6" s="4" t="s">
        <v>190</v>
      </c>
      <c r="D6" s="4" t="s">
        <v>181</v>
      </c>
      <c r="E6" s="4" t="s">
        <v>280</v>
      </c>
      <c r="F6" s="59">
        <v>10</v>
      </c>
      <c r="G6" s="58">
        <v>5</v>
      </c>
      <c r="H6" s="53">
        <v>1.7</v>
      </c>
      <c r="I6" s="60"/>
      <c r="J6" s="61" t="s">
        <v>192</v>
      </c>
      <c r="K6" s="41">
        <v>456.45</v>
      </c>
    </row>
    <row r="7" spans="1:11" ht="34.950000000000003" customHeight="1">
      <c r="A7" s="30">
        <v>44622</v>
      </c>
      <c r="B7" s="30" t="s">
        <v>29</v>
      </c>
      <c r="C7" s="4" t="s">
        <v>191</v>
      </c>
      <c r="D7" s="4" t="s">
        <v>181</v>
      </c>
      <c r="E7" s="4" t="s">
        <v>280</v>
      </c>
      <c r="F7" s="59">
        <v>3000</v>
      </c>
      <c r="G7" s="58">
        <v>0.5</v>
      </c>
      <c r="H7" s="53">
        <v>10</v>
      </c>
      <c r="I7" s="60" t="s">
        <v>195</v>
      </c>
      <c r="J7" s="61" t="s">
        <v>193</v>
      </c>
      <c r="K7" s="41">
        <v>3629.72</v>
      </c>
    </row>
    <row r="8" spans="1:11" ht="34.950000000000003" customHeight="1">
      <c r="A8" s="30">
        <v>44622</v>
      </c>
      <c r="B8" s="30" t="s">
        <v>29</v>
      </c>
      <c r="C8" s="4" t="s">
        <v>204</v>
      </c>
      <c r="D8" s="4" t="s">
        <v>181</v>
      </c>
      <c r="E8" s="4" t="s">
        <v>280</v>
      </c>
      <c r="F8" s="59">
        <v>828</v>
      </c>
      <c r="G8" s="58">
        <v>13</v>
      </c>
      <c r="H8" s="53">
        <v>37</v>
      </c>
      <c r="I8" s="60"/>
      <c r="J8" s="61" t="s">
        <v>205</v>
      </c>
      <c r="K8" s="41">
        <v>9356.8700000000008</v>
      </c>
    </row>
    <row r="9" spans="1:11" ht="34.950000000000003" customHeight="1">
      <c r="A9" s="30">
        <v>44622</v>
      </c>
      <c r="B9" s="30" t="s">
        <v>29</v>
      </c>
      <c r="C9" s="4" t="s">
        <v>206</v>
      </c>
      <c r="D9" s="4" t="s">
        <v>181</v>
      </c>
      <c r="E9" s="4" t="s">
        <v>280</v>
      </c>
      <c r="F9" s="59">
        <v>10</v>
      </c>
      <c r="G9" s="58">
        <v>5</v>
      </c>
      <c r="H9" s="53">
        <v>1.7</v>
      </c>
      <c r="I9" s="60"/>
      <c r="J9" s="61" t="s">
        <v>192</v>
      </c>
      <c r="K9" s="41">
        <v>425.04</v>
      </c>
    </row>
    <row r="10" spans="1:11" ht="34.950000000000003" customHeight="1">
      <c r="A10" s="30">
        <v>44622</v>
      </c>
      <c r="B10" s="30" t="s">
        <v>29</v>
      </c>
      <c r="C10" s="4" t="s">
        <v>204</v>
      </c>
      <c r="D10" s="4" t="s">
        <v>181</v>
      </c>
      <c r="E10" s="4" t="s">
        <v>280</v>
      </c>
      <c r="F10" s="59">
        <v>288</v>
      </c>
      <c r="G10" s="58">
        <v>13</v>
      </c>
      <c r="H10" s="53">
        <v>15</v>
      </c>
      <c r="I10" s="60"/>
      <c r="J10" s="61" t="s">
        <v>207</v>
      </c>
      <c r="K10" s="41">
        <v>3737.77</v>
      </c>
    </row>
    <row r="11" spans="1:11" ht="34.950000000000003" customHeight="1">
      <c r="A11" s="30">
        <v>44622</v>
      </c>
      <c r="B11" s="30" t="s">
        <v>29</v>
      </c>
      <c r="C11" s="4" t="s">
        <v>208</v>
      </c>
      <c r="D11" s="4" t="s">
        <v>181</v>
      </c>
      <c r="E11" s="4" t="s">
        <v>280</v>
      </c>
      <c r="F11" s="59">
        <v>100</v>
      </c>
      <c r="G11" s="58">
        <v>9</v>
      </c>
      <c r="H11" s="53">
        <v>4.7</v>
      </c>
      <c r="I11" s="60"/>
      <c r="J11" s="61" t="s">
        <v>209</v>
      </c>
      <c r="K11" s="41">
        <v>1451.26</v>
      </c>
    </row>
    <row r="12" spans="1:11" ht="34.950000000000003" customHeight="1">
      <c r="A12" s="30">
        <v>44890</v>
      </c>
      <c r="B12" s="30" t="s">
        <v>29</v>
      </c>
      <c r="C12" s="4" t="s">
        <v>204</v>
      </c>
      <c r="D12" s="4" t="s">
        <v>230</v>
      </c>
      <c r="E12" s="4" t="s">
        <v>280</v>
      </c>
      <c r="F12" s="59">
        <v>61.2</v>
      </c>
      <c r="G12" s="58">
        <v>12</v>
      </c>
      <c r="H12" s="53">
        <v>6</v>
      </c>
      <c r="I12" s="61" t="s">
        <v>232</v>
      </c>
      <c r="J12" s="61" t="s">
        <v>231</v>
      </c>
      <c r="K12" s="41">
        <f>1675.74+139.26+42.9</f>
        <v>1857.9</v>
      </c>
    </row>
    <row r="13" spans="1:11" ht="34.950000000000003" customHeight="1">
      <c r="A13" s="30">
        <v>44890</v>
      </c>
      <c r="B13" s="30" t="s">
        <v>29</v>
      </c>
      <c r="C13" s="4" t="s">
        <v>234</v>
      </c>
      <c r="D13" s="4" t="s">
        <v>230</v>
      </c>
      <c r="E13" s="4" t="s">
        <v>280</v>
      </c>
      <c r="F13" s="59">
        <v>15</v>
      </c>
      <c r="G13" s="58">
        <v>10</v>
      </c>
      <c r="H13" s="53">
        <v>1.2</v>
      </c>
      <c r="I13" s="61" t="s">
        <v>232</v>
      </c>
      <c r="J13" s="61" t="s">
        <v>233</v>
      </c>
      <c r="K13" s="41">
        <f>432.63+78.21+42.9</f>
        <v>553.74</v>
      </c>
    </row>
    <row r="14" spans="1:11" ht="34.950000000000003" customHeight="1">
      <c r="A14" s="30">
        <v>44890</v>
      </c>
      <c r="B14" s="30" t="s">
        <v>29</v>
      </c>
      <c r="C14" s="4" t="s">
        <v>235</v>
      </c>
      <c r="D14" s="4" t="s">
        <v>230</v>
      </c>
      <c r="E14" s="4" t="s">
        <v>280</v>
      </c>
      <c r="F14" s="59">
        <v>90</v>
      </c>
      <c r="G14" s="58">
        <v>8</v>
      </c>
      <c r="H14" s="53">
        <v>2.95</v>
      </c>
      <c r="I14" s="61" t="s">
        <v>232</v>
      </c>
      <c r="J14" s="61" t="s">
        <v>236</v>
      </c>
      <c r="K14" s="41">
        <f>966.6+122.1+42.9</f>
        <v>1131.6000000000001</v>
      </c>
    </row>
    <row r="15" spans="1:11" ht="34.950000000000003" customHeight="1">
      <c r="A15" s="30">
        <v>44886</v>
      </c>
      <c r="B15" s="30" t="s">
        <v>29</v>
      </c>
      <c r="C15" s="4" t="s">
        <v>347</v>
      </c>
      <c r="D15" s="4" t="s">
        <v>230</v>
      </c>
      <c r="E15" s="4" t="s">
        <v>280</v>
      </c>
      <c r="F15" s="59">
        <v>375</v>
      </c>
      <c r="G15" s="58"/>
      <c r="H15" s="53">
        <v>30</v>
      </c>
      <c r="I15" s="61"/>
      <c r="J15" s="61" t="s">
        <v>341</v>
      </c>
      <c r="K15" s="41">
        <v>9052.36</v>
      </c>
    </row>
    <row r="16" spans="1:11" ht="34.950000000000003" customHeight="1">
      <c r="A16" s="30">
        <v>44886</v>
      </c>
      <c r="B16" s="30" t="s">
        <v>29</v>
      </c>
      <c r="C16" s="4" t="s">
        <v>346</v>
      </c>
      <c r="D16" s="4" t="s">
        <v>230</v>
      </c>
      <c r="E16" s="4" t="s">
        <v>280</v>
      </c>
      <c r="F16" s="59">
        <v>10</v>
      </c>
      <c r="G16" s="58"/>
      <c r="H16" s="53">
        <v>1.2</v>
      </c>
      <c r="I16" s="61"/>
      <c r="J16" s="61" t="s">
        <v>342</v>
      </c>
      <c r="K16" s="41">
        <v>896.41</v>
      </c>
    </row>
    <row r="17" spans="1:11" ht="34.950000000000003" customHeight="1">
      <c r="A17" s="30">
        <v>44886</v>
      </c>
      <c r="B17" s="30" t="s">
        <v>29</v>
      </c>
      <c r="C17" s="4" t="s">
        <v>345</v>
      </c>
      <c r="D17" s="4" t="s">
        <v>230</v>
      </c>
      <c r="E17" s="4" t="s">
        <v>280</v>
      </c>
      <c r="F17" s="59">
        <v>10</v>
      </c>
      <c r="G17" s="58"/>
      <c r="H17" s="53">
        <v>1.3</v>
      </c>
      <c r="I17" s="61"/>
      <c r="J17" s="61" t="s">
        <v>343</v>
      </c>
      <c r="K17" s="41">
        <v>1016.49</v>
      </c>
    </row>
    <row r="18" spans="1:11" ht="34.950000000000003" customHeight="1">
      <c r="A18" s="30">
        <v>44886</v>
      </c>
      <c r="B18" s="30" t="s">
        <v>29</v>
      </c>
      <c r="C18" s="4" t="s">
        <v>344</v>
      </c>
      <c r="D18" s="4" t="s">
        <v>230</v>
      </c>
      <c r="E18" s="4" t="s">
        <v>280</v>
      </c>
      <c r="F18" s="59">
        <v>150</v>
      </c>
      <c r="G18" s="58"/>
      <c r="H18" s="53">
        <v>16</v>
      </c>
      <c r="I18" s="61"/>
      <c r="J18" s="61" t="s">
        <v>348</v>
      </c>
      <c r="K18" s="41">
        <v>5398.92</v>
      </c>
    </row>
    <row r="19" spans="1:11" ht="34.950000000000003" customHeight="1">
      <c r="A19" s="30">
        <v>44886</v>
      </c>
      <c r="B19" s="30" t="s">
        <v>29</v>
      </c>
      <c r="C19" s="4" t="s">
        <v>349</v>
      </c>
      <c r="D19" s="4" t="s">
        <v>230</v>
      </c>
      <c r="E19" s="4" t="s">
        <v>280</v>
      </c>
      <c r="F19" s="59">
        <v>20</v>
      </c>
      <c r="G19" s="58"/>
      <c r="H19" s="53">
        <v>1.7</v>
      </c>
      <c r="I19" s="61"/>
      <c r="J19" s="61" t="s">
        <v>350</v>
      </c>
      <c r="K19" s="41">
        <v>973.4</v>
      </c>
    </row>
    <row r="20" spans="1:11" ht="34.950000000000003" customHeight="1">
      <c r="A20" s="30">
        <v>44886</v>
      </c>
      <c r="B20" s="30" t="s">
        <v>29</v>
      </c>
      <c r="C20" s="4" t="s">
        <v>235</v>
      </c>
      <c r="D20" s="4" t="s">
        <v>230</v>
      </c>
      <c r="E20" s="4" t="s">
        <v>280</v>
      </c>
      <c r="F20" s="59">
        <v>112.5</v>
      </c>
      <c r="G20" s="58"/>
      <c r="H20" s="53">
        <v>9</v>
      </c>
      <c r="I20" s="61"/>
      <c r="J20" s="61" t="s">
        <v>351</v>
      </c>
      <c r="K20" s="41">
        <v>3718.43</v>
      </c>
    </row>
    <row r="21" spans="1:11" ht="34.950000000000003" customHeight="1">
      <c r="A21" s="30">
        <v>44886</v>
      </c>
      <c r="B21" s="30" t="s">
        <v>29</v>
      </c>
      <c r="C21" s="4" t="s">
        <v>352</v>
      </c>
      <c r="D21" s="4" t="s">
        <v>230</v>
      </c>
      <c r="E21" s="4" t="s">
        <v>280</v>
      </c>
      <c r="F21" s="59">
        <v>25</v>
      </c>
      <c r="G21" s="58"/>
      <c r="H21" s="53">
        <v>2.95</v>
      </c>
      <c r="I21" s="61"/>
      <c r="J21" s="61" t="s">
        <v>353</v>
      </c>
      <c r="K21" s="41">
        <v>2133.29</v>
      </c>
    </row>
    <row r="22" spans="1:11" ht="34.950000000000003" customHeight="1">
      <c r="A22" s="30">
        <v>44886</v>
      </c>
      <c r="B22" s="30" t="s">
        <v>29</v>
      </c>
      <c r="C22" s="4" t="s">
        <v>191</v>
      </c>
      <c r="D22" s="4" t="s">
        <v>230</v>
      </c>
      <c r="E22" s="4" t="s">
        <v>280</v>
      </c>
      <c r="F22" s="59">
        <v>300</v>
      </c>
      <c r="G22" s="58"/>
      <c r="H22" s="53">
        <v>2.8</v>
      </c>
      <c r="I22" s="61"/>
      <c r="J22" s="61" t="s">
        <v>354</v>
      </c>
      <c r="K22" s="41">
        <v>7073.06</v>
      </c>
    </row>
    <row r="23" spans="1:11" ht="34.950000000000003" customHeight="1">
      <c r="A23" s="78">
        <v>45644</v>
      </c>
      <c r="B23" s="30" t="s">
        <v>29</v>
      </c>
      <c r="C23" s="4" t="s">
        <v>346</v>
      </c>
      <c r="D23" s="4" t="s">
        <v>230</v>
      </c>
      <c r="E23" s="9" t="s">
        <v>280</v>
      </c>
      <c r="F23" s="59">
        <v>10</v>
      </c>
      <c r="G23" s="58">
        <v>8</v>
      </c>
      <c r="H23" s="53">
        <v>1.2</v>
      </c>
      <c r="J23" s="61" t="s">
        <v>342</v>
      </c>
      <c r="K23" s="41">
        <v>1459.35</v>
      </c>
    </row>
    <row r="24" spans="1:11" ht="34.950000000000003" customHeight="1">
      <c r="A24" s="78">
        <v>45644</v>
      </c>
      <c r="B24" s="30" t="s">
        <v>29</v>
      </c>
      <c r="C24" s="4" t="s">
        <v>345</v>
      </c>
      <c r="D24" s="4" t="s">
        <v>230</v>
      </c>
      <c r="E24" s="9" t="s">
        <v>280</v>
      </c>
      <c r="F24" s="59">
        <v>2</v>
      </c>
      <c r="G24" s="58">
        <v>5</v>
      </c>
      <c r="H24" s="53">
        <v>1.3</v>
      </c>
      <c r="J24" s="61" t="s">
        <v>338</v>
      </c>
      <c r="K24" s="41">
        <v>1696.25</v>
      </c>
    </row>
    <row r="25" spans="1:11" ht="34.950000000000003" customHeight="1">
      <c r="A25" s="78">
        <v>45644</v>
      </c>
      <c r="B25" s="30" t="s">
        <v>29</v>
      </c>
      <c r="C25" s="4" t="s">
        <v>376</v>
      </c>
      <c r="D25" s="4" t="s">
        <v>230</v>
      </c>
      <c r="E25" s="9" t="s">
        <v>280</v>
      </c>
      <c r="F25" s="59">
        <v>50</v>
      </c>
      <c r="G25" s="58">
        <v>15</v>
      </c>
      <c r="H25" s="53">
        <v>6</v>
      </c>
      <c r="J25" s="61" t="s">
        <v>377</v>
      </c>
      <c r="K25" s="41">
        <v>5839.7</v>
      </c>
    </row>
    <row r="26" spans="1:11" ht="34.950000000000003" customHeight="1">
      <c r="A26" s="78">
        <v>45644</v>
      </c>
      <c r="B26" s="30" t="s">
        <v>29</v>
      </c>
      <c r="C26" s="4" t="s">
        <v>378</v>
      </c>
      <c r="D26" s="4" t="s">
        <v>230</v>
      </c>
      <c r="E26" s="9" t="s">
        <v>280</v>
      </c>
      <c r="F26" s="59">
        <v>15</v>
      </c>
      <c r="G26" s="58">
        <v>15</v>
      </c>
      <c r="H26" s="53">
        <v>2.6</v>
      </c>
      <c r="J26" s="61" t="s">
        <v>379</v>
      </c>
      <c r="K26" s="41">
        <v>1618.05</v>
      </c>
    </row>
    <row r="27" spans="1:11" ht="34.950000000000003" customHeight="1">
      <c r="A27" s="78">
        <v>45644</v>
      </c>
      <c r="B27" s="30" t="s">
        <v>29</v>
      </c>
      <c r="C27" s="4" t="s">
        <v>380</v>
      </c>
      <c r="D27" s="4" t="s">
        <v>230</v>
      </c>
      <c r="E27" s="9" t="s">
        <v>280</v>
      </c>
      <c r="F27" s="59">
        <v>5</v>
      </c>
      <c r="G27" s="58">
        <v>10</v>
      </c>
      <c r="H27" s="53">
        <v>1.2</v>
      </c>
      <c r="J27" s="61" t="s">
        <v>342</v>
      </c>
      <c r="K27" s="41">
        <v>1459.35</v>
      </c>
    </row>
    <row r="28" spans="1:11" ht="34.950000000000003" customHeight="1">
      <c r="A28" s="78">
        <v>45644</v>
      </c>
      <c r="B28" s="30" t="s">
        <v>29</v>
      </c>
      <c r="C28" s="4" t="s">
        <v>381</v>
      </c>
      <c r="D28" s="4" t="s">
        <v>230</v>
      </c>
      <c r="E28" s="9" t="s">
        <v>280</v>
      </c>
      <c r="F28" s="59">
        <v>85</v>
      </c>
      <c r="G28" s="58">
        <v>12</v>
      </c>
      <c r="H28" s="53">
        <v>6</v>
      </c>
      <c r="J28" s="61" t="s">
        <v>382</v>
      </c>
      <c r="K28" s="71">
        <v>5830.7</v>
      </c>
    </row>
    <row r="29" spans="1:11" ht="34.950000000000003" customHeight="1">
      <c r="A29" s="78">
        <v>45644</v>
      </c>
      <c r="B29" s="30" t="s">
        <v>29</v>
      </c>
      <c r="C29" s="4" t="s">
        <v>190</v>
      </c>
      <c r="D29" s="4" t="s">
        <v>230</v>
      </c>
      <c r="E29" s="9" t="s">
        <v>280</v>
      </c>
      <c r="F29" s="59">
        <v>20</v>
      </c>
      <c r="G29" s="58">
        <v>15</v>
      </c>
      <c r="H29" s="53">
        <v>3</v>
      </c>
      <c r="J29" s="61" t="s">
        <v>383</v>
      </c>
      <c r="K29" s="71">
        <v>1803.2</v>
      </c>
    </row>
    <row r="30" spans="1:11" ht="34.950000000000003" customHeight="1">
      <c r="A30" s="30">
        <v>45955</v>
      </c>
      <c r="B30" s="30" t="s">
        <v>29</v>
      </c>
      <c r="C30" s="4" t="s">
        <v>234</v>
      </c>
      <c r="D30" s="4" t="s">
        <v>230</v>
      </c>
      <c r="E30" s="4" t="s">
        <v>280</v>
      </c>
      <c r="F30" s="4"/>
      <c r="G30" s="4"/>
      <c r="H30" s="53">
        <v>1.3</v>
      </c>
      <c r="I30" s="61"/>
      <c r="J30" s="61" t="s">
        <v>338</v>
      </c>
      <c r="K30" s="55">
        <v>1950.69</v>
      </c>
    </row>
    <row r="31" spans="1:11" ht="34.950000000000003" customHeight="1">
      <c r="A31" s="30">
        <v>45955</v>
      </c>
      <c r="B31" s="30" t="s">
        <v>29</v>
      </c>
      <c r="C31" s="4" t="s">
        <v>336</v>
      </c>
      <c r="D31" s="4" t="s">
        <v>230</v>
      </c>
      <c r="E31" s="4" t="s">
        <v>280</v>
      </c>
      <c r="F31" s="4"/>
      <c r="G31" s="4"/>
      <c r="H31" s="53">
        <v>2.95</v>
      </c>
      <c r="I31" s="61"/>
      <c r="J31" s="61" t="s">
        <v>337</v>
      </c>
      <c r="K31" s="55">
        <v>3993.95</v>
      </c>
    </row>
    <row r="32" spans="1:11" ht="34.950000000000003" customHeight="1">
      <c r="A32" s="30">
        <v>45955</v>
      </c>
      <c r="B32" s="30" t="s">
        <v>29</v>
      </c>
      <c r="C32" s="4" t="s">
        <v>339</v>
      </c>
      <c r="D32" s="4" t="s">
        <v>230</v>
      </c>
      <c r="E32" s="4" t="s">
        <v>280</v>
      </c>
      <c r="F32" s="4"/>
      <c r="G32" s="4"/>
      <c r="H32" s="53">
        <v>2.2000000000000002</v>
      </c>
      <c r="I32" s="61"/>
      <c r="J32" s="61" t="s">
        <v>340</v>
      </c>
      <c r="K32" s="55">
        <v>3859.06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8CA31-F54C-46C5-BF48-404658CD0FDF}">
  <dimension ref="A2:M7"/>
  <sheetViews>
    <sheetView workbookViewId="0">
      <selection activeCell="F14" sqref="F14"/>
    </sheetView>
  </sheetViews>
  <sheetFormatPr defaultRowHeight="14.4"/>
  <cols>
    <col min="1" max="2" width="12.5546875" style="9" customWidth="1"/>
    <col min="3" max="4" width="13.44140625" style="9" customWidth="1"/>
    <col min="5" max="5" width="15.6640625" style="9" bestFit="1" customWidth="1"/>
    <col min="6" max="6" width="16.88671875" style="9" bestFit="1" customWidth="1"/>
    <col min="7" max="7" width="18.5546875" style="9" customWidth="1"/>
    <col min="8" max="8" width="17.21875" style="9" customWidth="1"/>
    <col min="9" max="10" width="13.6640625" style="9" customWidth="1"/>
    <col min="12" max="12" width="12.5546875" bestFit="1" customWidth="1"/>
    <col min="13" max="13" width="12.21875" customWidth="1"/>
  </cols>
  <sheetData>
    <row r="2" spans="1:13">
      <c r="A2" s="80" t="s">
        <v>411</v>
      </c>
      <c r="B2" s="80" t="s">
        <v>418</v>
      </c>
      <c r="C2" s="80" t="s">
        <v>266</v>
      </c>
      <c r="D2" s="80" t="s">
        <v>389</v>
      </c>
      <c r="E2" s="80" t="s">
        <v>385</v>
      </c>
      <c r="F2" s="80" t="s">
        <v>386</v>
      </c>
      <c r="G2" s="80" t="s">
        <v>435</v>
      </c>
      <c r="H2" s="80" t="s">
        <v>434</v>
      </c>
      <c r="I2" s="80" t="s">
        <v>271</v>
      </c>
      <c r="J2" s="80" t="s">
        <v>413</v>
      </c>
      <c r="K2" s="8"/>
      <c r="L2" s="8"/>
      <c r="M2" s="8"/>
    </row>
    <row r="3" spans="1:13">
      <c r="A3" s="30">
        <v>45644</v>
      </c>
      <c r="B3" s="4" t="s">
        <v>28</v>
      </c>
      <c r="C3" s="4" t="s">
        <v>384</v>
      </c>
      <c r="D3" s="4" t="s">
        <v>417</v>
      </c>
      <c r="E3" s="4">
        <v>10</v>
      </c>
      <c r="F3" s="4">
        <v>900</v>
      </c>
      <c r="G3" s="4"/>
      <c r="H3" s="4"/>
      <c r="I3" s="4" t="s">
        <v>140</v>
      </c>
      <c r="J3" s="38">
        <v>21000</v>
      </c>
      <c r="K3" s="8"/>
      <c r="L3" s="8"/>
      <c r="M3" s="8"/>
    </row>
    <row r="4" spans="1:13">
      <c r="A4" s="30">
        <v>45644</v>
      </c>
      <c r="B4" s="4" t="s">
        <v>28</v>
      </c>
      <c r="C4" s="4" t="s">
        <v>387</v>
      </c>
      <c r="D4" s="4" t="s">
        <v>417</v>
      </c>
      <c r="E4" s="4">
        <v>30</v>
      </c>
      <c r="F4" s="4">
        <v>900</v>
      </c>
      <c r="G4" s="4"/>
      <c r="H4" s="4"/>
      <c r="I4" s="4" t="s">
        <v>140</v>
      </c>
      <c r="J4" s="41">
        <v>20000</v>
      </c>
      <c r="K4" s="8"/>
      <c r="L4" s="8"/>
      <c r="M4" s="8"/>
    </row>
    <row r="5" spans="1:13">
      <c r="A5" s="30">
        <v>45647</v>
      </c>
      <c r="B5" s="4" t="s">
        <v>28</v>
      </c>
      <c r="C5" s="4" t="s">
        <v>384</v>
      </c>
      <c r="D5" s="4" t="s">
        <v>416</v>
      </c>
      <c r="E5" s="4">
        <v>15</v>
      </c>
      <c r="F5" s="4"/>
      <c r="G5" s="4"/>
      <c r="H5" s="4"/>
      <c r="I5" s="4" t="s">
        <v>140</v>
      </c>
      <c r="J5" s="41">
        <v>18750</v>
      </c>
      <c r="K5" s="8"/>
      <c r="L5" s="8"/>
      <c r="M5" s="8"/>
    </row>
    <row r="6" spans="1:13">
      <c r="A6" s="30">
        <v>45647</v>
      </c>
      <c r="B6" s="4" t="s">
        <v>28</v>
      </c>
      <c r="C6" s="4" t="s">
        <v>433</v>
      </c>
      <c r="D6" s="4" t="s">
        <v>416</v>
      </c>
      <c r="E6" s="4">
        <v>6</v>
      </c>
      <c r="F6" s="4"/>
      <c r="G6" s="4"/>
      <c r="H6" s="4">
        <v>1.5</v>
      </c>
      <c r="I6" s="4" t="s">
        <v>140</v>
      </c>
      <c r="J6" s="41">
        <v>28500</v>
      </c>
      <c r="K6" s="8"/>
      <c r="L6" s="8"/>
      <c r="M6" s="8"/>
    </row>
    <row r="7" spans="1:13">
      <c r="A7" s="30">
        <v>45647</v>
      </c>
      <c r="B7" s="4" t="s">
        <v>28</v>
      </c>
      <c r="C7" s="4" t="s">
        <v>387</v>
      </c>
      <c r="D7" s="4" t="s">
        <v>416</v>
      </c>
      <c r="E7" s="4">
        <v>30</v>
      </c>
      <c r="F7" s="4"/>
      <c r="G7" s="4"/>
      <c r="H7" s="4">
        <v>1.5</v>
      </c>
      <c r="I7" s="4" t="s">
        <v>140</v>
      </c>
      <c r="J7" s="41">
        <v>17900</v>
      </c>
      <c r="K7" s="8"/>
      <c r="L7" s="8"/>
      <c r="M7" s="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946CF-B498-4667-9468-E14F94BBAB79}">
  <dimension ref="A1:H9"/>
  <sheetViews>
    <sheetView workbookViewId="0">
      <selection activeCell="D12" sqref="D12"/>
    </sheetView>
  </sheetViews>
  <sheetFormatPr defaultRowHeight="14.4"/>
  <cols>
    <col min="1" max="1" width="14" style="9" customWidth="1"/>
    <col min="2" max="2" width="36.88671875" style="54" bestFit="1" customWidth="1"/>
    <col min="3" max="3" width="17.88671875" style="9" customWidth="1"/>
    <col min="4" max="4" width="15.77734375" style="9" bestFit="1" customWidth="1"/>
    <col min="5" max="5" width="14.21875" style="9" customWidth="1"/>
    <col min="6" max="6" width="16.109375" style="9" customWidth="1"/>
    <col min="7" max="7" width="17.109375" style="9" customWidth="1"/>
    <col min="8" max="8" width="20.88671875" style="9" customWidth="1"/>
  </cols>
  <sheetData>
    <row r="1" spans="1:8">
      <c r="A1" s="5" t="s">
        <v>411</v>
      </c>
      <c r="B1" s="10" t="s">
        <v>418</v>
      </c>
      <c r="C1" s="5" t="s">
        <v>389</v>
      </c>
      <c r="D1" s="5" t="s">
        <v>306</v>
      </c>
      <c r="E1" s="5" t="s">
        <v>444</v>
      </c>
      <c r="F1" s="5" t="s">
        <v>288</v>
      </c>
      <c r="G1" s="5" t="s">
        <v>289</v>
      </c>
      <c r="H1" s="5" t="s">
        <v>413</v>
      </c>
    </row>
    <row r="2" spans="1:8">
      <c r="A2" s="30">
        <v>45596</v>
      </c>
      <c r="B2" s="11" t="s">
        <v>292</v>
      </c>
      <c r="C2" s="4" t="s">
        <v>291</v>
      </c>
      <c r="D2" s="4">
        <v>15</v>
      </c>
      <c r="E2" s="4">
        <v>30</v>
      </c>
      <c r="F2" s="4" t="s">
        <v>287</v>
      </c>
      <c r="G2" s="4" t="s">
        <v>262</v>
      </c>
      <c r="H2" s="43">
        <v>67000</v>
      </c>
    </row>
    <row r="3" spans="1:8">
      <c r="A3" s="30">
        <v>45404</v>
      </c>
      <c r="B3" s="11" t="s">
        <v>292</v>
      </c>
      <c r="C3" s="4" t="s">
        <v>291</v>
      </c>
      <c r="D3" s="4">
        <v>12</v>
      </c>
      <c r="E3" s="4"/>
      <c r="F3" s="4"/>
      <c r="G3" s="4" t="s">
        <v>262</v>
      </c>
      <c r="H3" s="43">
        <v>30000</v>
      </c>
    </row>
    <row r="4" spans="1:8">
      <c r="A4" s="30">
        <v>45407</v>
      </c>
      <c r="B4" s="11" t="s">
        <v>292</v>
      </c>
      <c r="C4" s="4" t="s">
        <v>442</v>
      </c>
      <c r="D4" s="4">
        <v>12</v>
      </c>
      <c r="E4" s="4"/>
      <c r="F4" s="4"/>
      <c r="G4" s="4" t="s">
        <v>262</v>
      </c>
      <c r="H4" s="43">
        <v>47490</v>
      </c>
    </row>
    <row r="5" spans="1:8">
      <c r="A5" s="30">
        <v>45422</v>
      </c>
      <c r="B5" s="11" t="s">
        <v>292</v>
      </c>
      <c r="C5" s="4" t="s">
        <v>443</v>
      </c>
      <c r="D5" s="4">
        <v>18</v>
      </c>
      <c r="E5" s="4"/>
      <c r="F5" s="4"/>
      <c r="G5" s="4" t="s">
        <v>262</v>
      </c>
      <c r="H5" s="43">
        <v>42083</v>
      </c>
    </row>
    <row r="6" spans="1:8">
      <c r="A6" s="30">
        <v>44887</v>
      </c>
      <c r="B6" s="11" t="s">
        <v>292</v>
      </c>
      <c r="C6" s="4" t="s">
        <v>291</v>
      </c>
      <c r="D6" s="4">
        <v>18</v>
      </c>
      <c r="E6" s="4"/>
      <c r="F6" s="4"/>
      <c r="G6" s="4" t="s">
        <v>262</v>
      </c>
      <c r="H6" s="43">
        <v>50000</v>
      </c>
    </row>
    <row r="7" spans="1:8">
      <c r="A7" s="30">
        <v>45636</v>
      </c>
      <c r="B7" s="11" t="s">
        <v>292</v>
      </c>
      <c r="C7" s="4" t="s">
        <v>291</v>
      </c>
      <c r="D7" s="4">
        <v>7.5</v>
      </c>
      <c r="E7" s="4"/>
      <c r="F7" s="4"/>
      <c r="G7" s="4" t="s">
        <v>262</v>
      </c>
      <c r="H7" s="43">
        <v>34000</v>
      </c>
    </row>
    <row r="8" spans="1:8">
      <c r="A8" s="30">
        <v>45611</v>
      </c>
      <c r="B8" s="11" t="s">
        <v>292</v>
      </c>
      <c r="C8" s="4" t="s">
        <v>291</v>
      </c>
      <c r="D8" s="4">
        <v>18.5</v>
      </c>
      <c r="E8" s="4"/>
      <c r="F8" s="4"/>
      <c r="G8" s="4" t="s">
        <v>262</v>
      </c>
      <c r="H8" s="43">
        <v>48000</v>
      </c>
    </row>
    <row r="9" spans="1:8">
      <c r="A9" s="30">
        <v>45490</v>
      </c>
      <c r="B9" s="11" t="s">
        <v>292</v>
      </c>
      <c r="C9" s="4" t="s">
        <v>291</v>
      </c>
      <c r="D9" s="4">
        <v>50</v>
      </c>
      <c r="E9" s="4">
        <v>75</v>
      </c>
      <c r="F9" s="4" t="s">
        <v>290</v>
      </c>
      <c r="G9" s="4" t="s">
        <v>262</v>
      </c>
      <c r="H9" s="43">
        <v>108000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A91C3-05F6-49CE-BC15-7B0741FFFD60}">
  <dimension ref="A2:O11"/>
  <sheetViews>
    <sheetView workbookViewId="0">
      <selection activeCell="F12" sqref="F12"/>
    </sheetView>
  </sheetViews>
  <sheetFormatPr defaultRowHeight="14.4"/>
  <cols>
    <col min="1" max="2" width="13.6640625" style="9" customWidth="1"/>
    <col min="3" max="4" width="14.5546875" style="9" customWidth="1"/>
    <col min="5" max="5" width="13.6640625" style="9" bestFit="1" customWidth="1"/>
    <col min="6" max="9" width="13.6640625" style="9" customWidth="1"/>
    <col min="10" max="10" width="14.21875" customWidth="1"/>
    <col min="12" max="12" width="46.77734375" bestFit="1" customWidth="1"/>
    <col min="14" max="14" width="12.5546875" bestFit="1" customWidth="1"/>
    <col min="15" max="15" width="12.21875" customWidth="1"/>
  </cols>
  <sheetData>
    <row r="2" spans="1:15">
      <c r="A2" s="80" t="s">
        <v>411</v>
      </c>
      <c r="B2" s="80" t="s">
        <v>418</v>
      </c>
      <c r="C2" s="80" t="s">
        <v>272</v>
      </c>
      <c r="D2" s="80" t="s">
        <v>389</v>
      </c>
      <c r="E2" s="80" t="s">
        <v>424</v>
      </c>
      <c r="F2" s="80" t="s">
        <v>425</v>
      </c>
      <c r="G2" s="80" t="s">
        <v>267</v>
      </c>
      <c r="H2" s="80" t="s">
        <v>271</v>
      </c>
      <c r="I2" s="80" t="s">
        <v>413</v>
      </c>
    </row>
    <row r="3" spans="1:15">
      <c r="A3" s="30">
        <v>45647</v>
      </c>
      <c r="B3" s="30" t="s">
        <v>423</v>
      </c>
      <c r="C3" s="4" t="s">
        <v>273</v>
      </c>
      <c r="D3" s="4" t="s">
        <v>416</v>
      </c>
      <c r="E3" s="31">
        <v>8000</v>
      </c>
      <c r="F3" s="31">
        <v>500</v>
      </c>
      <c r="G3" s="53">
        <v>1.1000000000000001</v>
      </c>
      <c r="H3" s="4" t="s">
        <v>41</v>
      </c>
      <c r="I3" s="55">
        <v>7650</v>
      </c>
    </row>
    <row r="4" spans="1:15">
      <c r="A4" s="30">
        <v>45647</v>
      </c>
      <c r="B4" s="30" t="s">
        <v>423</v>
      </c>
      <c r="C4" s="4" t="s">
        <v>273</v>
      </c>
      <c r="D4" s="4" t="s">
        <v>416</v>
      </c>
      <c r="E4" s="31">
        <v>10000</v>
      </c>
      <c r="F4" s="31">
        <v>500</v>
      </c>
      <c r="G4" s="53">
        <v>1.1000000000000001</v>
      </c>
      <c r="H4" s="4" t="s">
        <v>41</v>
      </c>
      <c r="I4" s="55">
        <v>9250</v>
      </c>
    </row>
    <row r="5" spans="1:15">
      <c r="A5" s="30">
        <v>45647</v>
      </c>
      <c r="B5" s="30" t="s">
        <v>423</v>
      </c>
      <c r="C5" s="4" t="s">
        <v>274</v>
      </c>
      <c r="D5" s="4" t="s">
        <v>416</v>
      </c>
      <c r="E5" s="31">
        <v>4000</v>
      </c>
      <c r="F5" s="31">
        <v>300</v>
      </c>
      <c r="G5" s="53">
        <v>2.2000000000000002</v>
      </c>
      <c r="H5" s="4" t="s">
        <v>41</v>
      </c>
      <c r="I5" s="55">
        <v>9000</v>
      </c>
    </row>
    <row r="6" spans="1:15">
      <c r="A6" s="30">
        <v>45647</v>
      </c>
      <c r="B6" s="30" t="s">
        <v>423</v>
      </c>
      <c r="C6" s="4" t="s">
        <v>275</v>
      </c>
      <c r="D6" s="4" t="s">
        <v>416</v>
      </c>
      <c r="E6" s="31">
        <v>7000</v>
      </c>
      <c r="F6" s="31">
        <v>300</v>
      </c>
      <c r="G6" s="53">
        <v>2.2000000000000002</v>
      </c>
      <c r="H6" s="4" t="s">
        <v>41</v>
      </c>
      <c r="I6" s="55">
        <v>13900</v>
      </c>
    </row>
    <row r="11" spans="1:15">
      <c r="L11" s="8"/>
      <c r="M11" s="54"/>
      <c r="N11" s="9"/>
      <c r="O11" s="38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2CA46-15EA-4AFE-9FE1-C4A378EE46CE}">
  <dimension ref="A2:G19"/>
  <sheetViews>
    <sheetView zoomScale="85" zoomScaleNormal="85" workbookViewId="0">
      <selection activeCell="J7" sqref="J7"/>
    </sheetView>
  </sheetViews>
  <sheetFormatPr defaultRowHeight="14.4"/>
  <cols>
    <col min="1" max="1" width="14" style="9" customWidth="1"/>
    <col min="2" max="2" width="19.33203125" style="9" customWidth="1"/>
    <col min="3" max="3" width="32.44140625" style="9" customWidth="1"/>
    <col min="4" max="4" width="19" style="9" customWidth="1"/>
    <col min="5" max="5" width="28.44140625" style="9" customWidth="1"/>
    <col min="6" max="6" width="12.77734375" style="9" customWidth="1"/>
  </cols>
  <sheetData>
    <row r="2" spans="1:6">
      <c r="A2" s="80" t="s">
        <v>411</v>
      </c>
      <c r="B2" s="80" t="s">
        <v>418</v>
      </c>
      <c r="C2" s="5" t="s">
        <v>11</v>
      </c>
      <c r="D2" s="5" t="s">
        <v>389</v>
      </c>
      <c r="E2" s="5" t="s">
        <v>194</v>
      </c>
      <c r="F2" s="5" t="s">
        <v>413</v>
      </c>
    </row>
    <row r="3" spans="1:6" ht="27" customHeight="1">
      <c r="A3" s="30">
        <v>44627</v>
      </c>
      <c r="B3" s="4" t="s">
        <v>30</v>
      </c>
      <c r="C3" s="4" t="s">
        <v>445</v>
      </c>
      <c r="D3" s="4" t="s">
        <v>438</v>
      </c>
      <c r="E3" s="4" t="s">
        <v>162</v>
      </c>
      <c r="F3" s="41">
        <v>4554.8999999999996</v>
      </c>
    </row>
    <row r="4" spans="1:6" ht="27" customHeight="1">
      <c r="A4" s="30">
        <v>45647</v>
      </c>
      <c r="B4" s="4" t="s">
        <v>30</v>
      </c>
      <c r="C4" s="4" t="s">
        <v>445</v>
      </c>
      <c r="D4" s="4" t="s">
        <v>438</v>
      </c>
      <c r="E4" s="4" t="s">
        <v>162</v>
      </c>
      <c r="F4" s="41">
        <v>6200</v>
      </c>
    </row>
    <row r="5" spans="1:6">
      <c r="A5" s="30">
        <v>44627</v>
      </c>
      <c r="B5" s="4" t="s">
        <v>36</v>
      </c>
      <c r="C5" s="4" t="s">
        <v>14</v>
      </c>
      <c r="D5" s="4" t="s">
        <v>438</v>
      </c>
      <c r="E5" s="4" t="s">
        <v>161</v>
      </c>
      <c r="F5" s="41">
        <v>908.82</v>
      </c>
    </row>
    <row r="6" spans="1:6">
      <c r="A6" s="30">
        <v>45647</v>
      </c>
      <c r="B6" s="4" t="s">
        <v>36</v>
      </c>
      <c r="C6" s="4" t="s">
        <v>14</v>
      </c>
      <c r="D6" s="4" t="s">
        <v>438</v>
      </c>
      <c r="E6" s="4" t="s">
        <v>161</v>
      </c>
      <c r="F6" s="41">
        <v>1200</v>
      </c>
    </row>
    <row r="7" spans="1:6">
      <c r="A7" s="30">
        <v>44627</v>
      </c>
      <c r="B7" s="4" t="s">
        <v>47</v>
      </c>
      <c r="C7" s="4" t="s">
        <v>165</v>
      </c>
      <c r="D7" s="4" t="s">
        <v>446</v>
      </c>
      <c r="E7" s="4" t="s">
        <v>166</v>
      </c>
      <c r="F7" s="41">
        <v>408.59</v>
      </c>
    </row>
    <row r="8" spans="1:6" ht="18" customHeight="1">
      <c r="A8" s="30">
        <v>44627</v>
      </c>
      <c r="B8" s="4" t="s">
        <v>47</v>
      </c>
      <c r="C8" s="4" t="s">
        <v>165</v>
      </c>
      <c r="D8" s="4" t="s">
        <v>446</v>
      </c>
      <c r="E8" s="4" t="s">
        <v>167</v>
      </c>
      <c r="F8" s="41">
        <v>362.84</v>
      </c>
    </row>
    <row r="9" spans="1:6">
      <c r="A9" s="30">
        <v>44627</v>
      </c>
      <c r="B9" s="4" t="s">
        <v>47</v>
      </c>
      <c r="C9" s="4" t="s">
        <v>177</v>
      </c>
      <c r="D9" s="4" t="s">
        <v>446</v>
      </c>
      <c r="E9" s="4" t="s">
        <v>178</v>
      </c>
      <c r="F9" s="41">
        <v>578</v>
      </c>
    </row>
    <row r="10" spans="1:6">
      <c r="A10" s="30">
        <v>44627</v>
      </c>
      <c r="B10" s="4" t="s">
        <v>48</v>
      </c>
      <c r="C10" s="4" t="s">
        <v>20</v>
      </c>
      <c r="D10" s="4" t="s">
        <v>438</v>
      </c>
      <c r="E10" s="4" t="s">
        <v>169</v>
      </c>
      <c r="F10" s="41">
        <v>1035.4100000000001</v>
      </c>
    </row>
    <row r="11" spans="1:6">
      <c r="A11" s="30">
        <v>44627</v>
      </c>
      <c r="B11" s="4" t="s">
        <v>48</v>
      </c>
      <c r="C11" s="4" t="s">
        <v>20</v>
      </c>
      <c r="D11" s="4" t="s">
        <v>438</v>
      </c>
      <c r="E11" s="4" t="s">
        <v>170</v>
      </c>
      <c r="F11" s="41">
        <v>857.16</v>
      </c>
    </row>
    <row r="12" spans="1:6">
      <c r="A12" s="30">
        <v>44627</v>
      </c>
      <c r="B12" s="4" t="s">
        <v>46</v>
      </c>
      <c r="C12" s="4" t="s">
        <v>168</v>
      </c>
      <c r="D12" s="4" t="s">
        <v>438</v>
      </c>
      <c r="E12" s="4" t="s">
        <v>169</v>
      </c>
      <c r="F12" s="41">
        <v>2209.1999999999998</v>
      </c>
    </row>
    <row r="13" spans="1:6">
      <c r="A13" s="30">
        <v>44627</v>
      </c>
      <c r="B13" s="4" t="s">
        <v>49</v>
      </c>
      <c r="C13" s="4" t="s">
        <v>21</v>
      </c>
      <c r="D13" s="4" t="s">
        <v>438</v>
      </c>
      <c r="E13" s="4" t="s">
        <v>169</v>
      </c>
      <c r="F13" s="41">
        <v>6720.53</v>
      </c>
    </row>
    <row r="14" spans="1:6">
      <c r="A14" s="30">
        <v>44627</v>
      </c>
      <c r="B14" s="4" t="s">
        <v>50</v>
      </c>
      <c r="C14" s="4" t="s">
        <v>22</v>
      </c>
      <c r="D14" s="4" t="s">
        <v>438</v>
      </c>
      <c r="E14" s="4" t="s">
        <v>169</v>
      </c>
      <c r="F14" s="41">
        <v>1027.3699999999999</v>
      </c>
    </row>
    <row r="15" spans="1:6">
      <c r="A15" s="30">
        <v>44627</v>
      </c>
      <c r="B15" s="4" t="s">
        <v>174</v>
      </c>
      <c r="C15" s="4" t="s">
        <v>171</v>
      </c>
      <c r="D15" s="4" t="s">
        <v>438</v>
      </c>
      <c r="E15" s="4" t="s">
        <v>169</v>
      </c>
      <c r="F15" s="41">
        <v>1443.87</v>
      </c>
    </row>
    <row r="16" spans="1:6">
      <c r="A16" s="30">
        <v>44627</v>
      </c>
      <c r="B16" s="4" t="s">
        <v>447</v>
      </c>
      <c r="C16" s="4" t="s">
        <v>172</v>
      </c>
      <c r="D16" s="4" t="s">
        <v>446</v>
      </c>
      <c r="E16" s="4" t="s">
        <v>173</v>
      </c>
      <c r="F16" s="41">
        <v>4282</v>
      </c>
    </row>
    <row r="17" spans="1:7">
      <c r="A17" s="30">
        <v>44627</v>
      </c>
      <c r="B17" s="4" t="s">
        <v>47</v>
      </c>
      <c r="C17" s="4" t="s">
        <v>175</v>
      </c>
      <c r="D17" s="4" t="s">
        <v>438</v>
      </c>
      <c r="E17" s="4" t="s">
        <v>176</v>
      </c>
      <c r="F17" s="41">
        <v>12.6</v>
      </c>
    </row>
    <row r="18" spans="1:7" ht="28.8">
      <c r="A18" s="30">
        <v>44862</v>
      </c>
      <c r="B18" s="4" t="s">
        <v>448</v>
      </c>
      <c r="C18" s="4" t="s">
        <v>225</v>
      </c>
      <c r="D18" s="4" t="s">
        <v>227</v>
      </c>
      <c r="E18" s="61" t="s">
        <v>226</v>
      </c>
      <c r="F18" s="41">
        <v>44500</v>
      </c>
      <c r="G18" s="38"/>
    </row>
    <row r="19" spans="1:7">
      <c r="A19" s="30">
        <v>44862</v>
      </c>
      <c r="B19" s="4" t="s">
        <v>449</v>
      </c>
      <c r="C19" s="4" t="s">
        <v>228</v>
      </c>
      <c r="D19" s="4" t="s">
        <v>227</v>
      </c>
      <c r="E19" s="4" t="s">
        <v>229</v>
      </c>
      <c r="F19" s="41">
        <v>3100</v>
      </c>
      <c r="G19" s="3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909E-8FC4-4EF7-8E14-1E887B8B315F}">
  <dimension ref="A2:F11"/>
  <sheetViews>
    <sheetView zoomScale="85" zoomScaleNormal="85" workbookViewId="0">
      <selection activeCell="G17" sqref="G17"/>
    </sheetView>
  </sheetViews>
  <sheetFormatPr defaultRowHeight="14.4"/>
  <cols>
    <col min="1" max="1" width="18.33203125" style="9" customWidth="1"/>
    <col min="2" max="2" width="14.21875" style="9" customWidth="1"/>
    <col min="3" max="3" width="15.6640625" style="9" customWidth="1"/>
    <col min="4" max="4" width="14.109375" style="9" customWidth="1"/>
    <col min="5" max="5" width="20.44140625" style="9" customWidth="1"/>
    <col min="6" max="6" width="22.6640625" style="9" customWidth="1"/>
  </cols>
  <sheetData>
    <row r="2" spans="1:6">
      <c r="A2" s="5" t="s">
        <v>411</v>
      </c>
      <c r="B2" s="5" t="s">
        <v>436</v>
      </c>
      <c r="C2" s="5" t="s">
        <v>102</v>
      </c>
      <c r="D2" s="5" t="s">
        <v>389</v>
      </c>
      <c r="E2" s="5" t="s">
        <v>194</v>
      </c>
      <c r="F2" s="5" t="s">
        <v>413</v>
      </c>
    </row>
    <row r="3" spans="1:6">
      <c r="A3" s="30">
        <v>45358</v>
      </c>
      <c r="B3" s="30" t="s">
        <v>36</v>
      </c>
      <c r="C3" s="30" t="s">
        <v>120</v>
      </c>
      <c r="D3" s="30" t="s">
        <v>437</v>
      </c>
      <c r="E3" s="4" t="s">
        <v>164</v>
      </c>
      <c r="F3" s="41">
        <v>4598.07</v>
      </c>
    </row>
    <row r="4" spans="1:6">
      <c r="A4" s="30">
        <v>45647</v>
      </c>
      <c r="B4" s="30" t="s">
        <v>36</v>
      </c>
      <c r="C4" s="4" t="s">
        <v>105</v>
      </c>
      <c r="D4" s="4" t="s">
        <v>438</v>
      </c>
      <c r="E4" s="4" t="s">
        <v>163</v>
      </c>
      <c r="F4" s="41">
        <v>1328</v>
      </c>
    </row>
    <row r="5" spans="1:6">
      <c r="A5" s="30">
        <v>45647</v>
      </c>
      <c r="B5" s="30" t="s">
        <v>36</v>
      </c>
      <c r="C5" s="4" t="s">
        <v>105</v>
      </c>
      <c r="D5" s="4" t="s">
        <v>52</v>
      </c>
      <c r="E5" s="4" t="s">
        <v>163</v>
      </c>
      <c r="F5" s="41">
        <v>950</v>
      </c>
    </row>
    <row r="6" spans="1:6">
      <c r="A6" s="30">
        <v>45358</v>
      </c>
      <c r="B6" s="4" t="s">
        <v>36</v>
      </c>
      <c r="C6" s="4" t="s">
        <v>119</v>
      </c>
      <c r="D6" s="4" t="s">
        <v>437</v>
      </c>
      <c r="E6" s="4" t="s">
        <v>163</v>
      </c>
      <c r="F6" s="41">
        <v>1598.01</v>
      </c>
    </row>
    <row r="7" spans="1:6">
      <c r="A7" s="30">
        <v>45358</v>
      </c>
      <c r="B7" s="4" t="s">
        <v>36</v>
      </c>
      <c r="C7" s="4" t="s">
        <v>109</v>
      </c>
      <c r="D7" s="4" t="s">
        <v>437</v>
      </c>
      <c r="E7" s="4" t="s">
        <v>163</v>
      </c>
      <c r="F7" s="41">
        <v>2979.78</v>
      </c>
    </row>
    <row r="8" spans="1:6">
      <c r="A8" s="30">
        <v>45358</v>
      </c>
      <c r="B8" s="4" t="s">
        <v>36</v>
      </c>
      <c r="C8" s="4" t="s">
        <v>113</v>
      </c>
      <c r="D8" s="4" t="s">
        <v>437</v>
      </c>
      <c r="E8" s="4" t="s">
        <v>163</v>
      </c>
      <c r="F8" s="41">
        <v>1246.49</v>
      </c>
    </row>
    <row r="9" spans="1:6">
      <c r="A9" s="30">
        <v>45358</v>
      </c>
      <c r="B9" s="4" t="s">
        <v>36</v>
      </c>
      <c r="C9" s="4" t="s">
        <v>110</v>
      </c>
      <c r="D9" s="4" t="s">
        <v>438</v>
      </c>
      <c r="E9" s="4" t="s">
        <v>163</v>
      </c>
      <c r="F9" s="41">
        <v>3121.89</v>
      </c>
    </row>
    <row r="10" spans="1:6">
      <c r="A10" s="30">
        <v>45358</v>
      </c>
      <c r="B10" s="4" t="s">
        <v>36</v>
      </c>
      <c r="C10" s="4" t="s">
        <v>439</v>
      </c>
      <c r="D10" s="4" t="s">
        <v>437</v>
      </c>
      <c r="E10" s="4" t="s">
        <v>164</v>
      </c>
      <c r="F10" s="41">
        <v>5000</v>
      </c>
    </row>
    <row r="11" spans="1:6">
      <c r="A11" s="30">
        <v>45358</v>
      </c>
      <c r="B11" s="4" t="s">
        <v>36</v>
      </c>
      <c r="C11" s="4" t="s">
        <v>439</v>
      </c>
      <c r="D11" s="4" t="s">
        <v>438</v>
      </c>
      <c r="E11" s="4" t="s">
        <v>164</v>
      </c>
      <c r="F11" s="41">
        <v>7890</v>
      </c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65518-31DE-48D5-B713-2062900F48F8}">
  <dimension ref="A1:K26"/>
  <sheetViews>
    <sheetView zoomScale="70" zoomScaleNormal="70" workbookViewId="0">
      <selection activeCell="J3" sqref="J3"/>
    </sheetView>
  </sheetViews>
  <sheetFormatPr defaultRowHeight="30" customHeight="1"/>
  <cols>
    <col min="1" max="2" width="12.6640625" style="9" customWidth="1"/>
    <col min="3" max="3" width="38.109375" customWidth="1"/>
    <col min="4" max="4" width="20" customWidth="1"/>
    <col min="5" max="5" width="10.5546875" style="9" customWidth="1"/>
    <col min="6" max="6" width="14.44140625" style="9" customWidth="1"/>
    <col min="7" max="9" width="18.88671875" style="9" customWidth="1"/>
    <col min="10" max="10" width="23.44140625" bestFit="1" customWidth="1"/>
    <col min="11" max="11" width="15.21875" customWidth="1"/>
    <col min="12" max="12" width="12.109375" bestFit="1" customWidth="1"/>
  </cols>
  <sheetData>
    <row r="1" spans="1:11" ht="30" customHeight="1">
      <c r="C1" s="9"/>
      <c r="D1" s="9"/>
      <c r="J1" s="9"/>
      <c r="K1" s="9"/>
    </row>
    <row r="2" spans="1:11" s="62" customFormat="1" ht="30" customHeight="1">
      <c r="A2" s="63" t="s">
        <v>411</v>
      </c>
      <c r="B2" s="63" t="s">
        <v>418</v>
      </c>
      <c r="C2" s="63" t="s">
        <v>11</v>
      </c>
      <c r="D2" s="63" t="s">
        <v>389</v>
      </c>
      <c r="E2" s="63" t="s">
        <v>186</v>
      </c>
      <c r="F2" s="63" t="s">
        <v>281</v>
      </c>
      <c r="G2" s="63" t="s">
        <v>282</v>
      </c>
      <c r="H2" s="63" t="s">
        <v>283</v>
      </c>
      <c r="I2" s="63" t="s">
        <v>284</v>
      </c>
      <c r="J2" s="63" t="s">
        <v>410</v>
      </c>
      <c r="K2" s="63" t="s">
        <v>412</v>
      </c>
    </row>
    <row r="3" spans="1:11" ht="30" customHeight="1">
      <c r="A3" s="4"/>
      <c r="B3" s="4" t="s">
        <v>440</v>
      </c>
      <c r="C3" s="4" t="s">
        <v>197</v>
      </c>
      <c r="D3" s="4" t="s">
        <v>181</v>
      </c>
      <c r="E3" s="53">
        <v>0.9</v>
      </c>
      <c r="F3" s="53" t="s">
        <v>309</v>
      </c>
      <c r="G3" s="53"/>
      <c r="H3" s="53" t="s">
        <v>316</v>
      </c>
      <c r="I3" s="4">
        <v>2</v>
      </c>
      <c r="J3" s="4" t="s">
        <v>196</v>
      </c>
      <c r="K3" s="41">
        <v>607.32000000000005</v>
      </c>
    </row>
    <row r="4" spans="1:11" ht="30" customHeight="1">
      <c r="A4" s="4"/>
      <c r="B4" s="4" t="s">
        <v>440</v>
      </c>
      <c r="C4" s="4" t="s">
        <v>198</v>
      </c>
      <c r="D4" s="4" t="s">
        <v>181</v>
      </c>
      <c r="E4" s="53">
        <v>1.5</v>
      </c>
      <c r="F4" s="53" t="s">
        <v>310</v>
      </c>
      <c r="G4" s="53"/>
      <c r="H4" s="53" t="s">
        <v>316</v>
      </c>
      <c r="I4" s="4">
        <v>3</v>
      </c>
      <c r="J4" s="4" t="s">
        <v>199</v>
      </c>
      <c r="K4" s="41">
        <v>944.63</v>
      </c>
    </row>
    <row r="5" spans="1:11" ht="30" customHeight="1">
      <c r="A5" s="4"/>
      <c r="B5" s="4" t="s">
        <v>440</v>
      </c>
      <c r="C5" s="4" t="s">
        <v>200</v>
      </c>
      <c r="D5" s="4" t="s">
        <v>181</v>
      </c>
      <c r="E5" s="53">
        <v>5.5</v>
      </c>
      <c r="F5" s="53" t="s">
        <v>311</v>
      </c>
      <c r="G5" s="53"/>
      <c r="H5" s="53" t="s">
        <v>316</v>
      </c>
      <c r="I5" s="4">
        <v>3</v>
      </c>
      <c r="J5" s="4" t="s">
        <v>201</v>
      </c>
      <c r="K5" s="41">
        <v>1984.13</v>
      </c>
    </row>
    <row r="6" spans="1:11" ht="30" customHeight="1">
      <c r="A6" s="4"/>
      <c r="B6" s="4" t="s">
        <v>440</v>
      </c>
      <c r="C6" s="4" t="s">
        <v>202</v>
      </c>
      <c r="D6" s="4" t="s">
        <v>181</v>
      </c>
      <c r="E6" s="53">
        <v>4.3</v>
      </c>
      <c r="F6" s="53" t="s">
        <v>312</v>
      </c>
      <c r="G6" s="53"/>
      <c r="H6" s="60" t="s">
        <v>317</v>
      </c>
      <c r="I6" s="4">
        <v>2</v>
      </c>
      <c r="J6" s="4" t="s">
        <v>203</v>
      </c>
      <c r="K6" s="41">
        <v>3858.51</v>
      </c>
    </row>
    <row r="7" spans="1:11" ht="30" customHeight="1">
      <c r="A7" s="4"/>
      <c r="B7" s="4" t="s">
        <v>440</v>
      </c>
      <c r="C7" s="4" t="s">
        <v>210</v>
      </c>
      <c r="D7" s="4" t="s">
        <v>181</v>
      </c>
      <c r="E7" s="53">
        <v>2.2999999999999998</v>
      </c>
      <c r="F7" s="53" t="s">
        <v>313</v>
      </c>
      <c r="G7" s="53"/>
      <c r="H7" s="60" t="s">
        <v>318</v>
      </c>
      <c r="I7" s="4">
        <v>2</v>
      </c>
      <c r="J7" s="4" t="s">
        <v>211</v>
      </c>
      <c r="K7" s="41">
        <v>3367.65</v>
      </c>
    </row>
    <row r="8" spans="1:11" ht="30" customHeight="1">
      <c r="A8" s="30">
        <v>44920</v>
      </c>
      <c r="B8" s="4" t="s">
        <v>440</v>
      </c>
      <c r="C8" s="4" t="s">
        <v>202</v>
      </c>
      <c r="D8" s="4" t="s">
        <v>230</v>
      </c>
      <c r="E8" s="53">
        <v>3</v>
      </c>
      <c r="F8" s="53" t="s">
        <v>314</v>
      </c>
      <c r="G8" s="53"/>
      <c r="H8" s="60" t="s">
        <v>319</v>
      </c>
      <c r="I8" s="4">
        <v>2</v>
      </c>
      <c r="J8" s="4" t="s">
        <v>237</v>
      </c>
      <c r="K8" s="41">
        <f>5242.55+750+42.9</f>
        <v>6035.45</v>
      </c>
    </row>
    <row r="9" spans="1:11" ht="30" customHeight="1">
      <c r="A9" s="30">
        <v>44920</v>
      </c>
      <c r="B9" s="4" t="s">
        <v>440</v>
      </c>
      <c r="C9" s="4" t="s">
        <v>210</v>
      </c>
      <c r="D9" s="4" t="s">
        <v>230</v>
      </c>
      <c r="E9" s="53">
        <v>1.5</v>
      </c>
      <c r="F9" s="53" t="s">
        <v>315</v>
      </c>
      <c r="G9" s="53"/>
      <c r="H9" s="60" t="s">
        <v>318</v>
      </c>
      <c r="I9" s="4">
        <v>2</v>
      </c>
      <c r="J9" s="4" t="s">
        <v>238</v>
      </c>
      <c r="K9" s="41">
        <f>1324.63+42.9</f>
        <v>1367.5300000000002</v>
      </c>
    </row>
    <row r="10" spans="1:11" ht="30" customHeight="1">
      <c r="A10" s="30">
        <v>44920</v>
      </c>
      <c r="B10" s="4" t="s">
        <v>440</v>
      </c>
      <c r="C10" s="4" t="s">
        <v>239</v>
      </c>
      <c r="D10" s="4" t="s">
        <v>230</v>
      </c>
      <c r="E10" s="53">
        <v>1.5</v>
      </c>
      <c r="F10" s="53" t="s">
        <v>315</v>
      </c>
      <c r="G10" s="53"/>
      <c r="H10" s="60" t="s">
        <v>318</v>
      </c>
      <c r="I10" s="4">
        <v>2</v>
      </c>
      <c r="J10" s="4" t="s">
        <v>240</v>
      </c>
      <c r="K10" s="41">
        <f>1326.3+42.9</f>
        <v>1369.2</v>
      </c>
    </row>
    <row r="11" spans="1:11" ht="30" customHeight="1">
      <c r="A11" s="30">
        <v>45590</v>
      </c>
      <c r="B11" s="4" t="s">
        <v>440</v>
      </c>
      <c r="C11" s="4" t="s">
        <v>202</v>
      </c>
      <c r="D11" s="4" t="s">
        <v>230</v>
      </c>
      <c r="E11" s="53" t="s">
        <v>253</v>
      </c>
      <c r="F11" s="53" t="s">
        <v>312</v>
      </c>
      <c r="G11" s="53"/>
      <c r="H11" s="53"/>
      <c r="I11" s="4"/>
      <c r="J11" s="4" t="s">
        <v>254</v>
      </c>
      <c r="K11" s="41">
        <v>33106.14</v>
      </c>
    </row>
    <row r="12" spans="1:11" ht="30" customHeight="1">
      <c r="A12" s="30">
        <v>44897</v>
      </c>
      <c r="B12" s="4" t="s">
        <v>440</v>
      </c>
      <c r="C12" s="4" t="s">
        <v>202</v>
      </c>
      <c r="D12" s="4" t="s">
        <v>230</v>
      </c>
      <c r="E12" s="4" t="s">
        <v>255</v>
      </c>
      <c r="F12" s="4" t="s">
        <v>314</v>
      </c>
      <c r="G12" s="4"/>
      <c r="H12" s="4"/>
      <c r="I12" s="4"/>
      <c r="J12" s="4" t="s">
        <v>256</v>
      </c>
      <c r="K12" s="41">
        <v>5786.06</v>
      </c>
    </row>
    <row r="13" spans="1:11" ht="30" customHeight="1">
      <c r="A13" s="30">
        <v>44897</v>
      </c>
      <c r="B13" s="4" t="s">
        <v>440</v>
      </c>
      <c r="C13" s="4" t="s">
        <v>210</v>
      </c>
      <c r="D13" s="4" t="s">
        <v>230</v>
      </c>
      <c r="E13" s="4" t="s">
        <v>257</v>
      </c>
      <c r="F13" s="4" t="s">
        <v>315</v>
      </c>
      <c r="G13" s="4"/>
      <c r="H13" s="4"/>
      <c r="I13" s="4"/>
      <c r="J13" s="4" t="s">
        <v>238</v>
      </c>
      <c r="K13" s="41">
        <v>1621.19</v>
      </c>
    </row>
    <row r="14" spans="1:11" ht="30" customHeight="1">
      <c r="A14" s="30">
        <v>45468</v>
      </c>
      <c r="B14" s="4" t="s">
        <v>440</v>
      </c>
      <c r="C14" s="4" t="s">
        <v>210</v>
      </c>
      <c r="D14" s="4" t="s">
        <v>230</v>
      </c>
      <c r="E14" s="53" t="s">
        <v>258</v>
      </c>
      <c r="F14" s="53"/>
      <c r="G14" s="53"/>
      <c r="H14" s="53"/>
      <c r="I14" s="4"/>
      <c r="J14" s="4"/>
      <c r="K14" s="41">
        <v>15445.29</v>
      </c>
    </row>
    <row r="15" spans="1:11" ht="30" customHeight="1">
      <c r="A15" s="30">
        <v>45407</v>
      </c>
      <c r="B15" s="4" t="s">
        <v>440</v>
      </c>
      <c r="C15" s="4" t="s">
        <v>210</v>
      </c>
      <c r="D15" s="4" t="s">
        <v>252</v>
      </c>
      <c r="E15" s="53" t="s">
        <v>258</v>
      </c>
      <c r="F15" s="53"/>
      <c r="G15" s="53"/>
      <c r="H15" s="53"/>
      <c r="I15" s="4"/>
      <c r="J15" s="4"/>
      <c r="K15" s="41">
        <v>2952</v>
      </c>
    </row>
    <row r="16" spans="1:11" ht="30" customHeight="1">
      <c r="A16" s="30">
        <v>45415</v>
      </c>
      <c r="B16" s="4" t="s">
        <v>440</v>
      </c>
      <c r="C16" s="4" t="s">
        <v>210</v>
      </c>
      <c r="D16" s="4" t="s">
        <v>181</v>
      </c>
      <c r="E16" s="53" t="s">
        <v>258</v>
      </c>
      <c r="F16" s="53"/>
      <c r="G16" s="53"/>
      <c r="H16" s="53"/>
      <c r="I16" s="4"/>
      <c r="J16" s="4"/>
      <c r="K16" s="41">
        <v>6570.81</v>
      </c>
    </row>
    <row r="17" spans="1:11" ht="30" customHeight="1">
      <c r="A17" s="30">
        <v>45468</v>
      </c>
      <c r="B17" s="4" t="s">
        <v>440</v>
      </c>
      <c r="C17" s="4" t="s">
        <v>202</v>
      </c>
      <c r="D17" s="4" t="s">
        <v>230</v>
      </c>
      <c r="E17" s="53" t="s">
        <v>258</v>
      </c>
      <c r="F17" s="53"/>
      <c r="G17" s="53"/>
      <c r="H17" s="53"/>
      <c r="I17" s="4"/>
      <c r="J17" s="4"/>
      <c r="K17" s="41">
        <v>15796.91</v>
      </c>
    </row>
    <row r="18" spans="1:11" ht="30" customHeight="1">
      <c r="A18" s="30">
        <v>45407</v>
      </c>
      <c r="B18" s="4" t="s">
        <v>440</v>
      </c>
      <c r="C18" s="4" t="s">
        <v>202</v>
      </c>
      <c r="D18" s="4" t="s">
        <v>252</v>
      </c>
      <c r="E18" s="53" t="s">
        <v>258</v>
      </c>
      <c r="F18" s="53"/>
      <c r="G18" s="53"/>
      <c r="H18" s="53"/>
      <c r="I18" s="4"/>
      <c r="J18" s="4"/>
      <c r="K18" s="41">
        <v>4280</v>
      </c>
    </row>
    <row r="19" spans="1:11" ht="30" customHeight="1">
      <c r="A19" s="30">
        <v>45415</v>
      </c>
      <c r="B19" s="4" t="s">
        <v>440</v>
      </c>
      <c r="C19" s="4" t="s">
        <v>202</v>
      </c>
      <c r="D19" s="4" t="s">
        <v>181</v>
      </c>
      <c r="E19" s="53" t="s">
        <v>258</v>
      </c>
      <c r="F19" s="53"/>
      <c r="G19" s="53"/>
      <c r="H19" s="53"/>
      <c r="I19" s="4"/>
      <c r="J19" s="4"/>
      <c r="K19" s="41">
        <v>9241.68</v>
      </c>
    </row>
    <row r="20" spans="1:11" ht="30" customHeight="1">
      <c r="A20" s="30">
        <v>45644</v>
      </c>
      <c r="B20" s="4" t="s">
        <v>440</v>
      </c>
      <c r="C20" s="4" t="s">
        <v>259</v>
      </c>
      <c r="D20" s="4" t="s">
        <v>230</v>
      </c>
      <c r="E20" s="53" t="s">
        <v>258</v>
      </c>
      <c r="F20" s="53"/>
      <c r="G20" s="53"/>
      <c r="H20" s="53"/>
      <c r="I20" s="4"/>
      <c r="J20" s="4"/>
      <c r="K20" s="41">
        <v>10452.42</v>
      </c>
    </row>
    <row r="21" spans="1:11" ht="30" customHeight="1">
      <c r="A21" s="30">
        <v>45644</v>
      </c>
      <c r="B21" s="4" t="s">
        <v>440</v>
      </c>
      <c r="C21" s="4" t="s">
        <v>202</v>
      </c>
      <c r="D21" s="4" t="s">
        <v>230</v>
      </c>
      <c r="E21" s="53" t="s">
        <v>260</v>
      </c>
      <c r="F21" s="53"/>
      <c r="G21" s="53"/>
      <c r="H21" s="53"/>
      <c r="I21" s="4"/>
      <c r="J21" s="4"/>
      <c r="K21" s="41">
        <v>10544.27</v>
      </c>
    </row>
    <row r="22" spans="1:11" ht="30" customHeight="1">
      <c r="A22" s="30">
        <v>45468</v>
      </c>
      <c r="B22" s="4" t="s">
        <v>440</v>
      </c>
      <c r="C22" s="4" t="s">
        <v>259</v>
      </c>
      <c r="D22" s="4" t="s">
        <v>230</v>
      </c>
      <c r="E22" s="53" t="s">
        <v>441</v>
      </c>
      <c r="F22" s="53"/>
      <c r="G22" s="53"/>
      <c r="H22" s="53"/>
      <c r="I22" s="4"/>
      <c r="J22" s="4"/>
      <c r="K22" s="41">
        <v>16823.349999999999</v>
      </c>
    </row>
    <row r="23" spans="1:11" ht="30" customHeight="1">
      <c r="A23" s="30">
        <v>45407</v>
      </c>
      <c r="B23" s="4" t="s">
        <v>440</v>
      </c>
      <c r="C23" s="4" t="s">
        <v>259</v>
      </c>
      <c r="D23" s="4" t="s">
        <v>252</v>
      </c>
      <c r="E23" s="53" t="s">
        <v>441</v>
      </c>
      <c r="F23" s="53"/>
      <c r="G23" s="53"/>
      <c r="H23" s="53"/>
      <c r="I23" s="4"/>
      <c r="J23" s="4"/>
      <c r="K23" s="41">
        <v>11003</v>
      </c>
    </row>
    <row r="24" spans="1:11" ht="30" customHeight="1">
      <c r="A24" s="30">
        <v>45610</v>
      </c>
      <c r="B24" s="4" t="s">
        <v>440</v>
      </c>
      <c r="C24" s="4" t="s">
        <v>259</v>
      </c>
      <c r="D24" s="4" t="s">
        <v>230</v>
      </c>
      <c r="E24" s="53" t="s">
        <v>255</v>
      </c>
      <c r="F24" s="53"/>
      <c r="G24" s="53"/>
      <c r="H24" s="53"/>
      <c r="I24" s="4"/>
      <c r="J24" s="4"/>
      <c r="K24" s="41">
        <v>24323.42</v>
      </c>
    </row>
    <row r="25" spans="1:11" ht="30" customHeight="1">
      <c r="A25" s="30">
        <v>45610</v>
      </c>
      <c r="B25" s="4" t="s">
        <v>440</v>
      </c>
      <c r="C25" s="4" t="s">
        <v>210</v>
      </c>
      <c r="D25" s="4" t="s">
        <v>230</v>
      </c>
      <c r="E25" s="53" t="s">
        <v>257</v>
      </c>
      <c r="F25" s="53"/>
      <c r="G25" s="53"/>
      <c r="H25" s="53"/>
      <c r="I25" s="4"/>
      <c r="J25" s="4"/>
      <c r="K25" s="41">
        <v>6949.74</v>
      </c>
    </row>
    <row r="26" spans="1:11" ht="30" customHeight="1">
      <c r="A26" s="30">
        <v>45610</v>
      </c>
      <c r="B26" s="4" t="s">
        <v>440</v>
      </c>
      <c r="C26" s="4" t="s">
        <v>202</v>
      </c>
      <c r="D26" s="4" t="s">
        <v>230</v>
      </c>
      <c r="E26" s="4"/>
      <c r="F26" s="4"/>
      <c r="G26" s="4"/>
      <c r="H26" s="4"/>
      <c r="I26" s="4"/>
      <c r="J26" s="4"/>
      <c r="K26" s="41">
        <v>26024.15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32D2F-768E-4293-90FF-94AFE98C16D8}">
  <sheetPr>
    <tabColor rgb="FFFF0066"/>
  </sheetPr>
  <dimension ref="A1:L18"/>
  <sheetViews>
    <sheetView topLeftCell="A10" zoomScale="70" zoomScaleNormal="70" workbookViewId="0">
      <selection activeCell="Q9" sqref="Q9"/>
    </sheetView>
  </sheetViews>
  <sheetFormatPr defaultRowHeight="30" customHeight="1"/>
  <cols>
    <col min="1" max="2" width="13.6640625" style="9" customWidth="1"/>
    <col min="3" max="3" width="36.109375" style="9" bestFit="1" customWidth="1"/>
    <col min="4" max="4" width="21" style="9" customWidth="1"/>
    <col min="5" max="7" width="12.5546875" style="9" customWidth="1"/>
    <col min="8" max="8" width="14.21875" style="9" bestFit="1" customWidth="1"/>
    <col min="9" max="12" width="14.21875" style="9" customWidth="1"/>
    <col min="13" max="16384" width="8.88671875" style="9"/>
  </cols>
  <sheetData>
    <row r="1" spans="1:12" ht="30" customHeight="1">
      <c r="A1" s="5" t="s">
        <v>411</v>
      </c>
      <c r="B1" s="5" t="s">
        <v>418</v>
      </c>
      <c r="C1" s="5" t="s">
        <v>11</v>
      </c>
      <c r="D1" s="5" t="s">
        <v>389</v>
      </c>
      <c r="E1" s="5" t="s">
        <v>285</v>
      </c>
      <c r="F1" s="5" t="s">
        <v>286</v>
      </c>
      <c r="G1" s="5" t="s">
        <v>301</v>
      </c>
      <c r="H1" s="5" t="s">
        <v>293</v>
      </c>
      <c r="I1" s="5" t="s">
        <v>294</v>
      </c>
      <c r="J1" s="5" t="s">
        <v>295</v>
      </c>
      <c r="K1" s="5" t="s">
        <v>296</v>
      </c>
      <c r="L1" s="5" t="s">
        <v>413</v>
      </c>
    </row>
    <row r="2" spans="1:12" ht="30" customHeight="1">
      <c r="A2" s="30">
        <v>44648</v>
      </c>
      <c r="B2" s="52" t="s">
        <v>450</v>
      </c>
      <c r="C2" s="4" t="s">
        <v>302</v>
      </c>
      <c r="D2" s="4" t="s">
        <v>451</v>
      </c>
      <c r="E2" s="4">
        <v>1.5</v>
      </c>
      <c r="F2" s="4">
        <v>1</v>
      </c>
      <c r="G2" s="4">
        <v>0.75</v>
      </c>
      <c r="H2" s="4" t="s">
        <v>297</v>
      </c>
      <c r="I2" s="4" t="s">
        <v>298</v>
      </c>
      <c r="J2" s="4" t="s">
        <v>299</v>
      </c>
      <c r="K2" s="61" t="s">
        <v>300</v>
      </c>
      <c r="L2" s="41">
        <v>1125</v>
      </c>
    </row>
    <row r="3" spans="1:12" ht="30" customHeight="1">
      <c r="A3" s="30">
        <v>44648</v>
      </c>
      <c r="B3" s="52" t="s">
        <v>450</v>
      </c>
      <c r="C3" s="4" t="s">
        <v>303</v>
      </c>
      <c r="D3" s="4" t="s">
        <v>451</v>
      </c>
      <c r="E3" s="4">
        <v>45</v>
      </c>
      <c r="F3" s="4">
        <v>0.8</v>
      </c>
      <c r="G3" s="4">
        <v>9.1999999999999993</v>
      </c>
      <c r="H3" s="4" t="s">
        <v>297</v>
      </c>
      <c r="I3" s="4" t="s">
        <v>298</v>
      </c>
      <c r="J3" s="4" t="s">
        <v>299</v>
      </c>
      <c r="K3" s="61" t="s">
        <v>300</v>
      </c>
      <c r="L3" s="41">
        <v>3600</v>
      </c>
    </row>
    <row r="4" spans="1:12" ht="30" customHeight="1">
      <c r="A4" s="30">
        <v>44648</v>
      </c>
      <c r="B4" s="52" t="s">
        <v>450</v>
      </c>
      <c r="C4" s="4" t="s">
        <v>303</v>
      </c>
      <c r="D4" s="4" t="s">
        <v>451</v>
      </c>
      <c r="E4" s="4">
        <v>45</v>
      </c>
      <c r="F4" s="4">
        <v>0.8</v>
      </c>
      <c r="G4" s="4">
        <v>7.5</v>
      </c>
      <c r="H4" s="4" t="s">
        <v>297</v>
      </c>
      <c r="I4" s="4" t="s">
        <v>298</v>
      </c>
      <c r="J4" s="4" t="s">
        <v>299</v>
      </c>
      <c r="K4" s="61" t="s">
        <v>300</v>
      </c>
      <c r="L4" s="41">
        <v>3300</v>
      </c>
    </row>
    <row r="5" spans="1:12" ht="30" customHeight="1">
      <c r="A5" s="30">
        <v>44648</v>
      </c>
      <c r="B5" s="52" t="s">
        <v>450</v>
      </c>
      <c r="C5" s="4" t="s">
        <v>303</v>
      </c>
      <c r="D5" s="4" t="s">
        <v>451</v>
      </c>
      <c r="E5" s="4">
        <v>15</v>
      </c>
      <c r="F5" s="4">
        <v>1</v>
      </c>
      <c r="G5" s="4">
        <v>5.5</v>
      </c>
      <c r="H5" s="4" t="s">
        <v>297</v>
      </c>
      <c r="I5" s="4" t="s">
        <v>298</v>
      </c>
      <c r="J5" s="4" t="s">
        <v>299</v>
      </c>
      <c r="K5" s="61" t="s">
        <v>300</v>
      </c>
      <c r="L5" s="41">
        <v>2460</v>
      </c>
    </row>
    <row r="6" spans="1:12" ht="30" customHeight="1">
      <c r="A6" s="30">
        <v>44648</v>
      </c>
      <c r="B6" s="52" t="s">
        <v>450</v>
      </c>
      <c r="C6" s="4" t="s">
        <v>302</v>
      </c>
      <c r="D6" s="4" t="s">
        <v>451</v>
      </c>
      <c r="E6" s="4">
        <v>0.5</v>
      </c>
      <c r="F6" s="4">
        <v>1</v>
      </c>
      <c r="G6" s="4">
        <v>0.75</v>
      </c>
      <c r="H6" s="4" t="s">
        <v>297</v>
      </c>
      <c r="I6" s="4" t="s">
        <v>298</v>
      </c>
      <c r="J6" s="4" t="s">
        <v>299</v>
      </c>
      <c r="K6" s="61" t="s">
        <v>300</v>
      </c>
      <c r="L6" s="41">
        <v>1086</v>
      </c>
    </row>
    <row r="7" spans="1:12" ht="30" customHeight="1">
      <c r="A7" s="30">
        <v>45590</v>
      </c>
      <c r="B7" s="52" t="s">
        <v>450</v>
      </c>
      <c r="C7" s="4" t="s">
        <v>324</v>
      </c>
      <c r="D7" s="4" t="s">
        <v>451</v>
      </c>
      <c r="E7" s="4">
        <v>1.6</v>
      </c>
      <c r="F7" s="4">
        <v>3</v>
      </c>
      <c r="G7" s="4">
        <v>0.75</v>
      </c>
      <c r="H7" s="4" t="s">
        <v>297</v>
      </c>
      <c r="I7" s="66" t="s">
        <v>325</v>
      </c>
      <c r="J7" s="4" t="s">
        <v>299</v>
      </c>
      <c r="K7" s="61" t="s">
        <v>300</v>
      </c>
      <c r="L7" s="41">
        <v>2184</v>
      </c>
    </row>
    <row r="8" spans="1:12" ht="30" customHeight="1">
      <c r="A8" s="30">
        <v>45590</v>
      </c>
      <c r="B8" s="52" t="s">
        <v>450</v>
      </c>
      <c r="C8" s="4" t="s">
        <v>324</v>
      </c>
      <c r="D8" s="4" t="s">
        <v>451</v>
      </c>
      <c r="E8" s="4">
        <v>2</v>
      </c>
      <c r="F8" s="4">
        <v>1</v>
      </c>
      <c r="G8" s="4">
        <v>0.75</v>
      </c>
      <c r="H8" s="4" t="s">
        <v>297</v>
      </c>
      <c r="I8" s="46" t="s">
        <v>326</v>
      </c>
      <c r="J8" s="4" t="s">
        <v>299</v>
      </c>
      <c r="K8" s="61" t="s">
        <v>300</v>
      </c>
      <c r="L8" s="41">
        <v>2117.5</v>
      </c>
    </row>
    <row r="9" spans="1:12" ht="30" customHeight="1">
      <c r="A9" s="30">
        <v>45590</v>
      </c>
      <c r="B9" s="52" t="s">
        <v>450</v>
      </c>
      <c r="C9" s="4" t="s">
        <v>327</v>
      </c>
      <c r="D9" s="4" t="s">
        <v>451</v>
      </c>
      <c r="E9" s="4">
        <v>0.75</v>
      </c>
      <c r="F9" s="4">
        <v>2</v>
      </c>
      <c r="G9" s="4">
        <v>0.37</v>
      </c>
      <c r="H9" s="4" t="s">
        <v>297</v>
      </c>
      <c r="I9" s="67" t="s">
        <v>325</v>
      </c>
      <c r="J9" s="4" t="s">
        <v>299</v>
      </c>
      <c r="K9" s="61" t="s">
        <v>300</v>
      </c>
      <c r="L9" s="41">
        <v>1582</v>
      </c>
    </row>
    <row r="10" spans="1:12" ht="30" customHeight="1">
      <c r="A10" s="30">
        <v>45590</v>
      </c>
      <c r="B10" s="52" t="s">
        <v>450</v>
      </c>
      <c r="C10" s="4" t="s">
        <v>328</v>
      </c>
      <c r="D10" s="4" t="s">
        <v>451</v>
      </c>
      <c r="E10" s="4">
        <v>15</v>
      </c>
      <c r="F10" s="4">
        <v>2</v>
      </c>
      <c r="G10" s="4">
        <v>4</v>
      </c>
      <c r="H10" s="4" t="s">
        <v>297</v>
      </c>
      <c r="I10" s="46" t="s">
        <v>326</v>
      </c>
      <c r="J10" s="4" t="s">
        <v>299</v>
      </c>
      <c r="K10" s="61" t="s">
        <v>300</v>
      </c>
      <c r="L10" s="41">
        <v>3692.5</v>
      </c>
    </row>
    <row r="11" spans="1:12" ht="30" customHeight="1">
      <c r="A11" s="30">
        <v>45643</v>
      </c>
      <c r="B11" s="52" t="s">
        <v>450</v>
      </c>
      <c r="C11" s="4" t="s">
        <v>302</v>
      </c>
      <c r="D11" s="4" t="s">
        <v>452</v>
      </c>
      <c r="E11" s="4">
        <v>150</v>
      </c>
      <c r="F11" s="4">
        <v>3</v>
      </c>
      <c r="G11" s="4"/>
      <c r="H11" s="4"/>
      <c r="I11" s="70" t="s">
        <v>359</v>
      </c>
      <c r="J11" s="4"/>
      <c r="K11" s="4"/>
      <c r="L11" s="41">
        <v>1362.51</v>
      </c>
    </row>
    <row r="12" spans="1:12" ht="30" customHeight="1">
      <c r="A12" s="30">
        <v>45643</v>
      </c>
      <c r="B12" s="52" t="s">
        <v>450</v>
      </c>
      <c r="C12" s="4" t="s">
        <v>358</v>
      </c>
      <c r="D12" s="4" t="s">
        <v>452</v>
      </c>
      <c r="E12" s="4"/>
      <c r="F12" s="4">
        <v>9</v>
      </c>
      <c r="G12" s="4"/>
      <c r="H12" s="4"/>
      <c r="I12" s="46" t="s">
        <v>360</v>
      </c>
      <c r="J12" s="4" t="s">
        <v>299</v>
      </c>
      <c r="K12" s="4"/>
      <c r="L12" s="41">
        <v>2388.04</v>
      </c>
    </row>
    <row r="13" spans="1:12" ht="30" customHeight="1">
      <c r="A13" s="30">
        <v>45635</v>
      </c>
      <c r="B13" s="52" t="s">
        <v>450</v>
      </c>
      <c r="C13" s="4" t="s">
        <v>362</v>
      </c>
      <c r="D13" s="4" t="s">
        <v>361</v>
      </c>
      <c r="E13" s="4">
        <v>150</v>
      </c>
      <c r="F13" s="4">
        <v>3</v>
      </c>
      <c r="G13" s="4">
        <v>0.37</v>
      </c>
      <c r="H13" s="4" t="s">
        <v>297</v>
      </c>
      <c r="I13" s="70"/>
      <c r="J13" s="4" t="s">
        <v>299</v>
      </c>
      <c r="K13" s="4"/>
      <c r="L13" s="41">
        <v>1312.3</v>
      </c>
    </row>
    <row r="14" spans="1:12" ht="30" customHeight="1">
      <c r="A14" s="30">
        <v>45635</v>
      </c>
      <c r="B14" s="52" t="s">
        <v>450</v>
      </c>
      <c r="C14" s="4" t="s">
        <v>366</v>
      </c>
      <c r="D14" s="4" t="s">
        <v>361</v>
      </c>
      <c r="E14" s="4">
        <v>6</v>
      </c>
      <c r="F14" s="4">
        <v>9</v>
      </c>
      <c r="G14" s="4">
        <v>1.5</v>
      </c>
      <c r="H14" s="4" t="s">
        <v>297</v>
      </c>
      <c r="I14" s="70"/>
      <c r="J14" s="4" t="s">
        <v>299</v>
      </c>
      <c r="K14" s="4"/>
      <c r="L14" s="41">
        <v>2177.9</v>
      </c>
    </row>
    <row r="15" spans="1:12" ht="30" customHeight="1">
      <c r="A15" s="30">
        <v>45644</v>
      </c>
      <c r="B15" s="52" t="s">
        <v>450</v>
      </c>
      <c r="C15" s="4" t="s">
        <v>367</v>
      </c>
      <c r="D15" s="4" t="s">
        <v>451</v>
      </c>
      <c r="E15" s="4">
        <v>5</v>
      </c>
      <c r="F15" s="4">
        <v>1</v>
      </c>
      <c r="G15" s="4">
        <v>1.5</v>
      </c>
      <c r="H15" s="4" t="s">
        <v>297</v>
      </c>
      <c r="I15" s="4" t="s">
        <v>298</v>
      </c>
      <c r="J15" s="4" t="s">
        <v>299</v>
      </c>
      <c r="K15" s="61" t="s">
        <v>300</v>
      </c>
      <c r="L15" s="41">
        <v>3234</v>
      </c>
    </row>
    <row r="16" spans="1:12" ht="30" customHeight="1">
      <c r="A16" s="30">
        <v>45644</v>
      </c>
      <c r="B16" s="52" t="s">
        <v>450</v>
      </c>
      <c r="C16" s="4" t="s">
        <v>368</v>
      </c>
      <c r="D16" s="4" t="s">
        <v>451</v>
      </c>
      <c r="E16" s="4">
        <v>12</v>
      </c>
      <c r="F16" s="4">
        <v>1.5</v>
      </c>
      <c r="G16" s="4">
        <v>4</v>
      </c>
      <c r="H16" s="4" t="s">
        <v>297</v>
      </c>
      <c r="I16" s="4" t="s">
        <v>298</v>
      </c>
      <c r="J16" s="4" t="s">
        <v>299</v>
      </c>
      <c r="K16" s="61" t="s">
        <v>300</v>
      </c>
      <c r="L16" s="41">
        <v>3780</v>
      </c>
    </row>
    <row r="17" spans="1:12" ht="30" customHeight="1">
      <c r="A17" s="30">
        <v>45644</v>
      </c>
      <c r="B17" s="52" t="s">
        <v>450</v>
      </c>
      <c r="C17" s="4" t="s">
        <v>369</v>
      </c>
      <c r="D17" s="4" t="s">
        <v>451</v>
      </c>
      <c r="E17" s="4">
        <v>150</v>
      </c>
      <c r="F17" s="4">
        <v>3</v>
      </c>
      <c r="G17" s="4">
        <v>0.37</v>
      </c>
      <c r="H17" s="4" t="s">
        <v>297</v>
      </c>
      <c r="I17" s="4" t="s">
        <v>316</v>
      </c>
      <c r="J17" s="4" t="s">
        <v>299</v>
      </c>
      <c r="K17" s="61" t="s">
        <v>300</v>
      </c>
      <c r="L17" s="41">
        <v>1701</v>
      </c>
    </row>
    <row r="18" spans="1:12" ht="30" customHeight="1">
      <c r="A18" s="30">
        <v>45644</v>
      </c>
      <c r="B18" s="52" t="s">
        <v>450</v>
      </c>
      <c r="C18" s="4" t="s">
        <v>367</v>
      </c>
      <c r="D18" s="4" t="s">
        <v>451</v>
      </c>
      <c r="E18" s="4">
        <v>6</v>
      </c>
      <c r="F18" s="4">
        <v>1</v>
      </c>
      <c r="G18" s="4">
        <v>1.5</v>
      </c>
      <c r="H18" s="4" t="s">
        <v>297</v>
      </c>
      <c r="I18" s="4" t="s">
        <v>298</v>
      </c>
      <c r="J18" s="4" t="s">
        <v>299</v>
      </c>
      <c r="K18" s="61" t="s">
        <v>300</v>
      </c>
      <c r="L18" s="41">
        <v>3234</v>
      </c>
    </row>
  </sheetData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7B062-6CB5-4ADC-9092-76EDEB6674D3}">
  <dimension ref="A1:K19"/>
  <sheetViews>
    <sheetView topLeftCell="B1" zoomScale="70" zoomScaleNormal="70" workbookViewId="0">
      <selection activeCell="R4" sqref="R4"/>
    </sheetView>
  </sheetViews>
  <sheetFormatPr defaultRowHeight="70.05" customHeight="1"/>
  <cols>
    <col min="1" max="1" width="8.88671875" style="9"/>
    <col min="2" max="3" width="16" style="9" customWidth="1"/>
    <col min="4" max="4" width="48.5546875" style="9" bestFit="1" customWidth="1"/>
    <col min="5" max="5" width="11.77734375" style="9" customWidth="1"/>
    <col min="6" max="6" width="10.5546875" style="9" customWidth="1"/>
    <col min="7" max="7" width="9.33203125" style="9" customWidth="1"/>
    <col min="8" max="8" width="10.88671875" style="9" customWidth="1"/>
    <col min="9" max="9" width="56.44140625" style="68" customWidth="1"/>
    <col min="10" max="10" width="21.21875" style="68" customWidth="1"/>
    <col min="12" max="16384" width="8.88671875" style="9"/>
  </cols>
  <sheetData>
    <row r="1" spans="1:10" ht="37.799999999999997" customHeight="1">
      <c r="A1" s="64" t="s">
        <v>12</v>
      </c>
      <c r="B1" s="64" t="s">
        <v>411</v>
      </c>
      <c r="C1" s="64" t="s">
        <v>418</v>
      </c>
      <c r="D1" s="64" t="s">
        <v>11</v>
      </c>
      <c r="E1" s="64" t="s">
        <v>389</v>
      </c>
      <c r="F1" s="64" t="s">
        <v>241</v>
      </c>
      <c r="G1" s="64" t="s">
        <v>388</v>
      </c>
      <c r="H1" s="64" t="s">
        <v>301</v>
      </c>
      <c r="I1" s="81"/>
      <c r="J1" s="81" t="s">
        <v>413</v>
      </c>
    </row>
    <row r="2" spans="1:10" ht="69.599999999999994" customHeight="1">
      <c r="A2" s="4">
        <v>1</v>
      </c>
      <c r="B2" s="30">
        <v>44648</v>
      </c>
      <c r="C2" s="30" t="s">
        <v>453</v>
      </c>
      <c r="D2" s="4" t="s">
        <v>454</v>
      </c>
      <c r="E2" s="4" t="s">
        <v>390</v>
      </c>
      <c r="F2" s="4">
        <v>500</v>
      </c>
      <c r="G2" s="4">
        <v>5.5</v>
      </c>
      <c r="H2" s="4">
        <v>0.37</v>
      </c>
      <c r="I2" s="65" t="s">
        <v>179</v>
      </c>
      <c r="J2" s="41">
        <v>1100</v>
      </c>
    </row>
    <row r="3" spans="1:10" ht="69.599999999999994" customHeight="1">
      <c r="A3" s="4">
        <v>2</v>
      </c>
      <c r="B3" s="30">
        <v>44648</v>
      </c>
      <c r="C3" s="30" t="s">
        <v>453</v>
      </c>
      <c r="D3" s="4" t="s">
        <v>455</v>
      </c>
      <c r="E3" s="4" t="s">
        <v>390</v>
      </c>
      <c r="F3" s="4">
        <v>500</v>
      </c>
      <c r="G3" s="4">
        <v>4.5</v>
      </c>
      <c r="H3" s="4">
        <v>0.37</v>
      </c>
      <c r="I3" s="65" t="s">
        <v>180</v>
      </c>
      <c r="J3" s="41">
        <v>755</v>
      </c>
    </row>
    <row r="4" spans="1:10" ht="69.599999999999994" customHeight="1">
      <c r="A4" s="4">
        <v>3</v>
      </c>
      <c r="B4" s="30">
        <v>44648</v>
      </c>
      <c r="C4" s="30" t="s">
        <v>453</v>
      </c>
      <c r="D4" s="4" t="s">
        <v>456</v>
      </c>
      <c r="E4" s="4" t="s">
        <v>390</v>
      </c>
      <c r="F4" s="4">
        <v>500</v>
      </c>
      <c r="G4" s="4">
        <v>4.5</v>
      </c>
      <c r="H4" s="4">
        <v>0.37</v>
      </c>
      <c r="I4" s="65" t="s">
        <v>180</v>
      </c>
      <c r="J4" s="41">
        <v>755</v>
      </c>
    </row>
    <row r="5" spans="1:10" ht="69.599999999999994" customHeight="1">
      <c r="A5" s="4">
        <v>4</v>
      </c>
      <c r="B5" s="30">
        <v>44648</v>
      </c>
      <c r="C5" s="30" t="s">
        <v>453</v>
      </c>
      <c r="D5" s="4" t="s">
        <v>457</v>
      </c>
      <c r="E5" s="4" t="s">
        <v>390</v>
      </c>
      <c r="F5" s="4">
        <v>500</v>
      </c>
      <c r="G5" s="4">
        <v>4.5</v>
      </c>
      <c r="H5" s="4">
        <v>0.37</v>
      </c>
      <c r="I5" s="65" t="s">
        <v>180</v>
      </c>
      <c r="J5" s="41">
        <v>755</v>
      </c>
    </row>
    <row r="6" spans="1:10" ht="37.799999999999997" customHeight="1">
      <c r="A6" s="4">
        <v>5</v>
      </c>
      <c r="B6" s="30">
        <v>45590</v>
      </c>
      <c r="C6" s="30" t="s">
        <v>453</v>
      </c>
      <c r="D6" s="4" t="s">
        <v>458</v>
      </c>
      <c r="E6" s="4" t="s">
        <v>391</v>
      </c>
      <c r="F6" s="4">
        <v>535</v>
      </c>
      <c r="G6" s="4">
        <v>2.5</v>
      </c>
      <c r="H6" s="4"/>
      <c r="I6" s="61" t="s">
        <v>323</v>
      </c>
      <c r="J6" s="41">
        <v>1020.6</v>
      </c>
    </row>
    <row r="7" spans="1:10" ht="37.799999999999997" customHeight="1">
      <c r="A7" s="4">
        <v>6</v>
      </c>
      <c r="B7" s="30">
        <v>45590</v>
      </c>
      <c r="C7" s="30" t="s">
        <v>453</v>
      </c>
      <c r="D7" s="4" t="s">
        <v>458</v>
      </c>
      <c r="E7" s="4" t="s">
        <v>391</v>
      </c>
      <c r="F7" s="4">
        <v>16</v>
      </c>
      <c r="G7" s="4">
        <v>14</v>
      </c>
      <c r="H7" s="4"/>
      <c r="I7" s="61" t="s">
        <v>321</v>
      </c>
      <c r="J7" s="41">
        <v>557.9</v>
      </c>
    </row>
    <row r="8" spans="1:10" ht="37.799999999999997" customHeight="1">
      <c r="A8" s="4">
        <v>7</v>
      </c>
      <c r="B8" s="30">
        <v>45590</v>
      </c>
      <c r="C8" s="30" t="s">
        <v>453</v>
      </c>
      <c r="D8" s="4" t="s">
        <v>458</v>
      </c>
      <c r="E8" s="4" t="s">
        <v>391</v>
      </c>
      <c r="F8" s="4">
        <v>16</v>
      </c>
      <c r="G8" s="4">
        <v>14</v>
      </c>
      <c r="H8" s="4"/>
      <c r="I8" s="61" t="s">
        <v>320</v>
      </c>
      <c r="J8" s="41">
        <v>557.9</v>
      </c>
    </row>
    <row r="9" spans="1:10" ht="37.799999999999997" customHeight="1">
      <c r="A9" s="4">
        <v>8</v>
      </c>
      <c r="B9" s="30">
        <v>45590</v>
      </c>
      <c r="C9" s="30" t="s">
        <v>453</v>
      </c>
      <c r="D9" s="4" t="s">
        <v>458</v>
      </c>
      <c r="E9" s="4" t="s">
        <v>391</v>
      </c>
      <c r="F9" s="4">
        <v>16</v>
      </c>
      <c r="G9" s="4">
        <v>14</v>
      </c>
      <c r="H9" s="4"/>
      <c r="I9" s="61" t="s">
        <v>322</v>
      </c>
      <c r="J9" s="41">
        <v>557.9</v>
      </c>
    </row>
    <row r="10" spans="1:10" ht="37.799999999999997" customHeight="1">
      <c r="A10" s="4">
        <v>9</v>
      </c>
      <c r="B10" s="30">
        <v>45643</v>
      </c>
      <c r="C10" s="30" t="s">
        <v>453</v>
      </c>
      <c r="D10" s="4" t="s">
        <v>355</v>
      </c>
      <c r="E10" s="4" t="s">
        <v>392</v>
      </c>
      <c r="F10" s="4">
        <v>155</v>
      </c>
      <c r="G10" s="4">
        <v>7</v>
      </c>
      <c r="H10" s="4"/>
      <c r="I10" s="61"/>
      <c r="J10" s="41">
        <v>534.82000000000005</v>
      </c>
    </row>
    <row r="11" spans="1:10" ht="37.799999999999997" customHeight="1">
      <c r="A11" s="4">
        <v>10</v>
      </c>
      <c r="B11" s="30">
        <v>45643</v>
      </c>
      <c r="C11" s="30" t="s">
        <v>453</v>
      </c>
      <c r="D11" s="4" t="s">
        <v>356</v>
      </c>
      <c r="E11" s="4" t="s">
        <v>392</v>
      </c>
      <c r="F11" s="4">
        <v>220</v>
      </c>
      <c r="G11" s="4">
        <v>7</v>
      </c>
      <c r="H11" s="4"/>
      <c r="I11" s="61"/>
      <c r="J11" s="41">
        <v>534.82000000000005</v>
      </c>
    </row>
    <row r="12" spans="1:10" ht="37.799999999999997" customHeight="1">
      <c r="A12" s="4">
        <v>11</v>
      </c>
      <c r="B12" s="30">
        <v>45643</v>
      </c>
      <c r="C12" s="30" t="s">
        <v>453</v>
      </c>
      <c r="D12" s="4" t="s">
        <v>357</v>
      </c>
      <c r="E12" s="4" t="s">
        <v>392</v>
      </c>
      <c r="F12" s="4">
        <v>310</v>
      </c>
      <c r="G12" s="4">
        <v>7</v>
      </c>
      <c r="H12" s="4"/>
      <c r="I12" s="61"/>
      <c r="J12" s="41">
        <v>560.55999999999995</v>
      </c>
    </row>
    <row r="13" spans="1:10" ht="37.799999999999997" customHeight="1">
      <c r="A13" s="4">
        <v>12</v>
      </c>
      <c r="B13" s="30">
        <v>45635</v>
      </c>
      <c r="C13" s="30" t="s">
        <v>453</v>
      </c>
      <c r="D13" s="4" t="s">
        <v>363</v>
      </c>
      <c r="E13" s="4" t="s">
        <v>393</v>
      </c>
      <c r="F13" s="4">
        <v>146</v>
      </c>
      <c r="G13" s="4">
        <v>5</v>
      </c>
      <c r="H13" s="4"/>
      <c r="I13" s="61"/>
      <c r="J13" s="41">
        <v>567</v>
      </c>
    </row>
    <row r="14" spans="1:10" ht="37.799999999999997" customHeight="1">
      <c r="A14" s="4">
        <v>13</v>
      </c>
      <c r="B14" s="30">
        <v>45635</v>
      </c>
      <c r="C14" s="30" t="s">
        <v>453</v>
      </c>
      <c r="D14" s="4" t="s">
        <v>364</v>
      </c>
      <c r="E14" s="4" t="s">
        <v>393</v>
      </c>
      <c r="F14" s="4">
        <v>217</v>
      </c>
      <c r="G14" s="4">
        <v>5</v>
      </c>
      <c r="H14" s="4"/>
      <c r="I14" s="61"/>
      <c r="J14" s="41">
        <v>662.9</v>
      </c>
    </row>
    <row r="15" spans="1:10" ht="37.799999999999997" customHeight="1">
      <c r="A15" s="4">
        <v>14</v>
      </c>
      <c r="B15" s="30">
        <v>45635</v>
      </c>
      <c r="C15" s="30" t="s">
        <v>453</v>
      </c>
      <c r="D15" s="4" t="s">
        <v>365</v>
      </c>
      <c r="E15" s="4" t="s">
        <v>393</v>
      </c>
      <c r="F15" s="4">
        <v>292</v>
      </c>
      <c r="G15" s="4">
        <v>4</v>
      </c>
      <c r="H15" s="4"/>
      <c r="I15" s="61"/>
      <c r="J15" s="41">
        <v>725.9</v>
      </c>
    </row>
    <row r="16" spans="1:10" ht="37.799999999999997" customHeight="1">
      <c r="A16" s="4">
        <v>15</v>
      </c>
      <c r="B16" s="30">
        <v>45644</v>
      </c>
      <c r="C16" s="30" t="s">
        <v>453</v>
      </c>
      <c r="D16" s="61" t="s">
        <v>372</v>
      </c>
      <c r="E16" s="61" t="s">
        <v>391</v>
      </c>
      <c r="F16" s="61">
        <v>158</v>
      </c>
      <c r="G16" s="61">
        <v>8</v>
      </c>
      <c r="H16" s="61"/>
      <c r="I16" s="61"/>
      <c r="J16" s="41">
        <v>1323</v>
      </c>
    </row>
    <row r="17" spans="1:10" ht="37.799999999999997" customHeight="1">
      <c r="A17" s="4">
        <v>16</v>
      </c>
      <c r="B17" s="30">
        <v>45644</v>
      </c>
      <c r="C17" s="30" t="s">
        <v>453</v>
      </c>
      <c r="D17" s="61" t="s">
        <v>373</v>
      </c>
      <c r="E17" s="61" t="s">
        <v>391</v>
      </c>
      <c r="F17" s="61">
        <v>158</v>
      </c>
      <c r="G17" s="61">
        <v>8</v>
      </c>
      <c r="H17" s="61"/>
      <c r="I17" s="61"/>
      <c r="J17" s="41">
        <v>953.05</v>
      </c>
    </row>
    <row r="18" spans="1:10" ht="37.799999999999997" customHeight="1">
      <c r="A18" s="4">
        <v>17</v>
      </c>
      <c r="B18" s="30">
        <v>45644</v>
      </c>
      <c r="C18" s="30" t="s">
        <v>453</v>
      </c>
      <c r="D18" s="61" t="s">
        <v>374</v>
      </c>
      <c r="E18" s="61" t="s">
        <v>391</v>
      </c>
      <c r="F18" s="61">
        <v>200</v>
      </c>
      <c r="G18" s="61">
        <v>3</v>
      </c>
      <c r="H18" s="61"/>
      <c r="I18" s="61"/>
      <c r="J18" s="41">
        <v>804.3</v>
      </c>
    </row>
    <row r="19" spans="1:10" ht="37.799999999999997" customHeight="1">
      <c r="A19" s="4">
        <v>18</v>
      </c>
      <c r="B19" s="30">
        <v>45644</v>
      </c>
      <c r="C19" s="30" t="s">
        <v>453</v>
      </c>
      <c r="D19" s="61" t="s">
        <v>375</v>
      </c>
      <c r="E19" s="61" t="s">
        <v>391</v>
      </c>
      <c r="F19" s="61">
        <v>300</v>
      </c>
      <c r="G19" s="61">
        <v>3</v>
      </c>
      <c r="H19" s="61"/>
      <c r="I19" s="61"/>
      <c r="J19" s="41">
        <v>804.3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3039C-7FA2-4D6D-9759-6798A6DD6BEF}">
  <dimension ref="A1:G7"/>
  <sheetViews>
    <sheetView workbookViewId="0">
      <selection sqref="A1:G7"/>
    </sheetView>
  </sheetViews>
  <sheetFormatPr defaultRowHeight="14.4"/>
  <cols>
    <col min="1" max="1" width="10.109375" customWidth="1"/>
    <col min="2" max="2" width="12.21875" customWidth="1"/>
    <col min="3" max="3" width="32.77734375" bestFit="1" customWidth="1"/>
    <col min="4" max="4" width="21.77734375" customWidth="1"/>
    <col min="5" max="6" width="32.77734375" customWidth="1"/>
    <col min="7" max="7" width="11.5546875" customWidth="1"/>
  </cols>
  <sheetData>
    <row r="1" spans="1:7">
      <c r="A1" s="5" t="s">
        <v>411</v>
      </c>
      <c r="B1" s="5" t="s">
        <v>418</v>
      </c>
      <c r="C1" s="5" t="s">
        <v>11</v>
      </c>
      <c r="D1" s="5" t="s">
        <v>389</v>
      </c>
      <c r="E1" s="5" t="s">
        <v>241</v>
      </c>
      <c r="F1" s="5" t="s">
        <v>301</v>
      </c>
      <c r="G1" s="5" t="s">
        <v>413</v>
      </c>
    </row>
    <row r="2" spans="1:7">
      <c r="A2" s="1"/>
      <c r="B2" s="1"/>
      <c r="C2" s="3"/>
      <c r="D2" s="3"/>
      <c r="E2" s="3"/>
      <c r="F2" s="3"/>
      <c r="G2" s="4"/>
    </row>
    <row r="3" spans="1:7">
      <c r="A3" s="1"/>
      <c r="B3" s="1"/>
      <c r="C3" s="3"/>
      <c r="D3" s="3"/>
      <c r="E3" s="3"/>
      <c r="F3" s="3"/>
      <c r="G3" s="4"/>
    </row>
    <row r="4" spans="1:7">
      <c r="A4" s="1"/>
      <c r="B4" s="1"/>
      <c r="C4" s="3"/>
      <c r="D4" s="3"/>
      <c r="E4" s="3"/>
      <c r="F4" s="3"/>
      <c r="G4" s="4"/>
    </row>
    <row r="5" spans="1:7">
      <c r="A5" s="1"/>
      <c r="B5" s="1"/>
      <c r="C5" s="3"/>
      <c r="D5" s="3"/>
      <c r="E5" s="3"/>
      <c r="F5" s="3"/>
      <c r="G5" s="4"/>
    </row>
    <row r="6" spans="1:7">
      <c r="A6" s="1"/>
      <c r="B6" s="1"/>
      <c r="C6" s="3"/>
      <c r="D6" s="3"/>
      <c r="E6" s="3"/>
      <c r="F6" s="3"/>
      <c r="G6" s="4"/>
    </row>
    <row r="7" spans="1:7">
      <c r="A7" s="1"/>
      <c r="B7" s="1"/>
      <c r="C7" s="3"/>
      <c r="D7" s="3"/>
      <c r="E7" s="3"/>
      <c r="F7" s="3"/>
      <c r="G7" s="4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DD711-84C1-4C3F-85CF-5760962832F9}">
  <sheetPr>
    <tabColor rgb="FFFF0066"/>
  </sheetPr>
  <dimension ref="A1:G42"/>
  <sheetViews>
    <sheetView zoomScale="85" zoomScaleNormal="85" workbookViewId="0">
      <selection activeCell="I16" sqref="I16"/>
    </sheetView>
  </sheetViews>
  <sheetFormatPr defaultRowHeight="14.4"/>
  <cols>
    <col min="1" max="1" width="16.6640625" style="9" bestFit="1" customWidth="1"/>
    <col min="2" max="2" width="15.21875" style="9" customWidth="1"/>
    <col min="3" max="3" width="20.44140625" style="9" customWidth="1"/>
    <col min="4" max="4" width="22.44140625" style="9" customWidth="1"/>
    <col min="5" max="5" width="10.88671875" style="9" customWidth="1"/>
    <col min="6" max="6" width="15.21875" style="9" customWidth="1"/>
    <col min="7" max="7" width="14.33203125" style="9" customWidth="1"/>
    <col min="8" max="8" width="13.77734375" customWidth="1"/>
    <col min="9" max="9" width="15.88671875" customWidth="1"/>
    <col min="10" max="10" width="11.33203125" customWidth="1"/>
    <col min="11" max="11" width="14.44140625" customWidth="1"/>
  </cols>
  <sheetData>
    <row r="1" spans="1:7">
      <c r="A1" s="5" t="s">
        <v>411</v>
      </c>
      <c r="B1" s="5" t="s">
        <v>418</v>
      </c>
      <c r="C1" s="5" t="s">
        <v>102</v>
      </c>
      <c r="D1" s="5" t="s">
        <v>389</v>
      </c>
      <c r="E1" s="5" t="s">
        <v>23</v>
      </c>
      <c r="F1" s="5" t="s">
        <v>426</v>
      </c>
      <c r="G1" s="5" t="s">
        <v>413</v>
      </c>
    </row>
    <row r="2" spans="1:7">
      <c r="A2" s="30">
        <v>44837</v>
      </c>
      <c r="B2" s="30" t="s">
        <v>459</v>
      </c>
      <c r="C2" s="4" t="s">
        <v>113</v>
      </c>
      <c r="D2" s="4" t="s">
        <v>148</v>
      </c>
      <c r="E2" s="4" t="s">
        <v>154</v>
      </c>
      <c r="F2" s="31">
        <v>3</v>
      </c>
      <c r="G2" s="32">
        <v>14.56</v>
      </c>
    </row>
    <row r="3" spans="1:7">
      <c r="A3" s="30">
        <v>44855</v>
      </c>
      <c r="B3" s="30" t="s">
        <v>459</v>
      </c>
      <c r="C3" s="4" t="s">
        <v>113</v>
      </c>
      <c r="D3" s="4" t="s">
        <v>148</v>
      </c>
      <c r="E3" s="4" t="s">
        <v>154</v>
      </c>
      <c r="F3" s="31">
        <v>3</v>
      </c>
      <c r="G3" s="32">
        <v>13.27</v>
      </c>
    </row>
    <row r="4" spans="1:7">
      <c r="A4" s="30">
        <v>44839</v>
      </c>
      <c r="B4" s="30" t="s">
        <v>459</v>
      </c>
      <c r="C4" s="4" t="s">
        <v>113</v>
      </c>
      <c r="D4" s="4" t="s">
        <v>155</v>
      </c>
      <c r="E4" s="4" t="s">
        <v>154</v>
      </c>
      <c r="F4" s="31">
        <v>3</v>
      </c>
      <c r="G4" s="32">
        <v>17.100000000000001</v>
      </c>
    </row>
    <row r="5" spans="1:7">
      <c r="A5" s="30">
        <v>44922</v>
      </c>
      <c r="B5" s="30" t="s">
        <v>459</v>
      </c>
      <c r="C5" s="4" t="s">
        <v>113</v>
      </c>
      <c r="D5" s="4" t="s">
        <v>460</v>
      </c>
      <c r="E5" s="4" t="s">
        <v>154</v>
      </c>
      <c r="F5" s="31">
        <v>3</v>
      </c>
      <c r="G5" s="32">
        <v>16.64</v>
      </c>
    </row>
    <row r="6" spans="1:7">
      <c r="A6" s="30">
        <v>44837</v>
      </c>
      <c r="B6" s="30" t="s">
        <v>459</v>
      </c>
      <c r="C6" s="4" t="s">
        <v>113</v>
      </c>
      <c r="D6" s="4" t="s">
        <v>159</v>
      </c>
      <c r="E6" s="4" t="s">
        <v>154</v>
      </c>
      <c r="F6" s="31">
        <v>3</v>
      </c>
      <c r="G6" s="32">
        <v>16.399999999999999</v>
      </c>
    </row>
    <row r="7" spans="1:7">
      <c r="A7" s="30">
        <v>44837</v>
      </c>
      <c r="B7" s="30" t="s">
        <v>459</v>
      </c>
      <c r="C7" s="4" t="s">
        <v>113</v>
      </c>
      <c r="D7" s="4" t="s">
        <v>160</v>
      </c>
      <c r="E7" s="4" t="s">
        <v>154</v>
      </c>
      <c r="F7" s="31">
        <v>3</v>
      </c>
      <c r="G7" s="41">
        <v>17</v>
      </c>
    </row>
    <row r="8" spans="1:7">
      <c r="A8" s="30">
        <v>44837</v>
      </c>
      <c r="B8" s="30" t="s">
        <v>459</v>
      </c>
      <c r="C8" s="4" t="s">
        <v>104</v>
      </c>
      <c r="D8" s="4" t="s">
        <v>148</v>
      </c>
      <c r="E8" s="4" t="s">
        <v>154</v>
      </c>
      <c r="F8" s="31">
        <v>3</v>
      </c>
      <c r="G8" s="32">
        <v>20.86</v>
      </c>
    </row>
    <row r="9" spans="1:7">
      <c r="A9" s="30">
        <v>44855</v>
      </c>
      <c r="B9" s="30" t="s">
        <v>459</v>
      </c>
      <c r="C9" s="4" t="s">
        <v>104</v>
      </c>
      <c r="D9" s="4" t="s">
        <v>148</v>
      </c>
      <c r="E9" s="4" t="s">
        <v>154</v>
      </c>
      <c r="F9" s="31">
        <v>3</v>
      </c>
      <c r="G9" s="32">
        <v>18.96</v>
      </c>
    </row>
    <row r="10" spans="1:7">
      <c r="A10" s="30">
        <v>44839</v>
      </c>
      <c r="B10" s="30" t="s">
        <v>459</v>
      </c>
      <c r="C10" s="4" t="s">
        <v>104</v>
      </c>
      <c r="D10" s="4" t="s">
        <v>155</v>
      </c>
      <c r="E10" s="4" t="s">
        <v>154</v>
      </c>
      <c r="F10" s="31">
        <v>3</v>
      </c>
      <c r="G10" s="32">
        <v>24.6</v>
      </c>
    </row>
    <row r="11" spans="1:7">
      <c r="A11" s="30">
        <v>44922</v>
      </c>
      <c r="B11" s="30" t="s">
        <v>459</v>
      </c>
      <c r="C11" s="4" t="s">
        <v>104</v>
      </c>
      <c r="D11" s="4" t="s">
        <v>460</v>
      </c>
      <c r="E11" s="4" t="s">
        <v>154</v>
      </c>
      <c r="F11" s="31">
        <v>3</v>
      </c>
      <c r="G11" s="32">
        <v>23.92</v>
      </c>
    </row>
    <row r="12" spans="1:7">
      <c r="A12" s="30">
        <v>44837</v>
      </c>
      <c r="B12" s="30" t="s">
        <v>459</v>
      </c>
      <c r="C12" s="4" t="s">
        <v>104</v>
      </c>
      <c r="D12" s="4" t="s">
        <v>159</v>
      </c>
      <c r="E12" s="4" t="s">
        <v>154</v>
      </c>
      <c r="F12" s="31">
        <v>3</v>
      </c>
      <c r="G12" s="32">
        <v>23.6</v>
      </c>
    </row>
    <row r="13" spans="1:7">
      <c r="A13" s="30">
        <v>44837</v>
      </c>
      <c r="B13" s="30" t="s">
        <v>459</v>
      </c>
      <c r="C13" s="4" t="s">
        <v>104</v>
      </c>
      <c r="D13" s="4" t="s">
        <v>160</v>
      </c>
      <c r="E13" s="4" t="s">
        <v>154</v>
      </c>
      <c r="F13" s="31">
        <v>3</v>
      </c>
      <c r="G13" s="41">
        <v>23</v>
      </c>
    </row>
    <row r="14" spans="1:7">
      <c r="A14" s="30">
        <v>44837</v>
      </c>
      <c r="B14" s="30" t="s">
        <v>459</v>
      </c>
      <c r="C14" s="4" t="s">
        <v>106</v>
      </c>
      <c r="D14" s="4" t="s">
        <v>148</v>
      </c>
      <c r="E14" s="4" t="s">
        <v>154</v>
      </c>
      <c r="F14" s="31">
        <v>3</v>
      </c>
      <c r="G14" s="32">
        <v>31.36</v>
      </c>
    </row>
    <row r="15" spans="1:7">
      <c r="A15" s="30">
        <v>44855</v>
      </c>
      <c r="B15" s="30" t="s">
        <v>459</v>
      </c>
      <c r="C15" s="4" t="s">
        <v>106</v>
      </c>
      <c r="D15" s="4" t="s">
        <v>148</v>
      </c>
      <c r="E15" s="4" t="s">
        <v>154</v>
      </c>
      <c r="F15" s="31">
        <v>3</v>
      </c>
      <c r="G15" s="32">
        <v>28.81</v>
      </c>
    </row>
    <row r="16" spans="1:7">
      <c r="A16" s="30">
        <v>44839</v>
      </c>
      <c r="B16" s="30" t="s">
        <v>459</v>
      </c>
      <c r="C16" s="4" t="s">
        <v>106</v>
      </c>
      <c r="D16" s="4" t="s">
        <v>155</v>
      </c>
      <c r="E16" s="4" t="s">
        <v>154</v>
      </c>
      <c r="F16" s="31">
        <v>3</v>
      </c>
      <c r="G16" s="32">
        <v>35.700000000000003</v>
      </c>
    </row>
    <row r="17" spans="1:7">
      <c r="A17" s="30">
        <v>44922</v>
      </c>
      <c r="B17" s="30" t="s">
        <v>459</v>
      </c>
      <c r="C17" s="4" t="s">
        <v>106</v>
      </c>
      <c r="D17" s="4" t="s">
        <v>460</v>
      </c>
      <c r="E17" s="4" t="s">
        <v>154</v>
      </c>
      <c r="F17" s="31">
        <v>3</v>
      </c>
      <c r="G17" s="32">
        <v>35.69</v>
      </c>
    </row>
    <row r="18" spans="1:7">
      <c r="A18" s="30">
        <v>44837</v>
      </c>
      <c r="B18" s="30" t="s">
        <v>459</v>
      </c>
      <c r="C18" s="4" t="s">
        <v>106</v>
      </c>
      <c r="D18" s="4" t="s">
        <v>159</v>
      </c>
      <c r="E18" s="4" t="s">
        <v>154</v>
      </c>
      <c r="F18" s="31">
        <v>3</v>
      </c>
      <c r="G18" s="32">
        <v>35.1</v>
      </c>
    </row>
    <row r="19" spans="1:7">
      <c r="A19" s="30">
        <v>44837</v>
      </c>
      <c r="B19" s="30" t="s">
        <v>459</v>
      </c>
      <c r="C19" s="4" t="s">
        <v>106</v>
      </c>
      <c r="D19" s="4" t="s">
        <v>160</v>
      </c>
      <c r="E19" s="4" t="s">
        <v>154</v>
      </c>
      <c r="F19" s="31">
        <v>3</v>
      </c>
      <c r="G19" s="41">
        <v>35</v>
      </c>
    </row>
    <row r="20" spans="1:7">
      <c r="A20" s="30">
        <v>44837</v>
      </c>
      <c r="B20" s="30" t="s">
        <v>459</v>
      </c>
      <c r="C20" s="4" t="s">
        <v>105</v>
      </c>
      <c r="D20" s="4" t="s">
        <v>148</v>
      </c>
      <c r="E20" s="4" t="s">
        <v>154</v>
      </c>
      <c r="F20" s="31">
        <v>3</v>
      </c>
      <c r="G20" s="32">
        <v>39.340000000000003</v>
      </c>
    </row>
    <row r="21" spans="1:7">
      <c r="A21" s="30">
        <v>44855</v>
      </c>
      <c r="B21" s="30" t="s">
        <v>459</v>
      </c>
      <c r="C21" s="4" t="s">
        <v>105</v>
      </c>
      <c r="D21" s="4" t="s">
        <v>148</v>
      </c>
      <c r="E21" s="4" t="s">
        <v>154</v>
      </c>
      <c r="F21" s="31">
        <v>3</v>
      </c>
      <c r="G21" s="32">
        <v>37.049999999999997</v>
      </c>
    </row>
    <row r="22" spans="1:7">
      <c r="A22" s="30">
        <v>44839</v>
      </c>
      <c r="B22" s="30" t="s">
        <v>459</v>
      </c>
      <c r="C22" s="4" t="s">
        <v>105</v>
      </c>
      <c r="D22" s="4" t="s">
        <v>155</v>
      </c>
      <c r="E22" s="4" t="s">
        <v>154</v>
      </c>
      <c r="F22" s="31">
        <v>3</v>
      </c>
      <c r="G22" s="32">
        <v>48.3</v>
      </c>
    </row>
    <row r="23" spans="1:7">
      <c r="A23" s="30">
        <v>44922</v>
      </c>
      <c r="B23" s="30" t="s">
        <v>459</v>
      </c>
      <c r="C23" s="4" t="s">
        <v>105</v>
      </c>
      <c r="D23" s="4" t="s">
        <v>460</v>
      </c>
      <c r="E23" s="4" t="s">
        <v>154</v>
      </c>
      <c r="F23" s="31">
        <v>3</v>
      </c>
      <c r="G23" s="32">
        <v>46.33</v>
      </c>
    </row>
    <row r="24" spans="1:7">
      <c r="A24" s="30">
        <v>44837</v>
      </c>
      <c r="B24" s="30" t="s">
        <v>459</v>
      </c>
      <c r="C24" s="4" t="s">
        <v>105</v>
      </c>
      <c r="D24" s="4" t="s">
        <v>159</v>
      </c>
      <c r="E24" s="4" t="s">
        <v>154</v>
      </c>
      <c r="F24" s="31">
        <v>3</v>
      </c>
      <c r="G24" s="32">
        <v>45.3</v>
      </c>
    </row>
    <row r="25" spans="1:7">
      <c r="A25" s="30">
        <v>44837</v>
      </c>
      <c r="B25" s="30" t="s">
        <v>459</v>
      </c>
      <c r="C25" s="4" t="s">
        <v>105</v>
      </c>
      <c r="D25" s="4" t="s">
        <v>160</v>
      </c>
      <c r="E25" s="4" t="s">
        <v>154</v>
      </c>
      <c r="F25" s="31">
        <v>3</v>
      </c>
      <c r="G25" s="41">
        <v>45</v>
      </c>
    </row>
    <row r="26" spans="1:7">
      <c r="A26" s="30">
        <v>44837</v>
      </c>
      <c r="B26" s="30" t="s">
        <v>459</v>
      </c>
      <c r="C26" s="4" t="s">
        <v>107</v>
      </c>
      <c r="D26" s="4" t="s">
        <v>148</v>
      </c>
      <c r="E26" s="4" t="s">
        <v>154</v>
      </c>
      <c r="F26" s="31">
        <v>3</v>
      </c>
      <c r="G26" s="32">
        <v>48.79</v>
      </c>
    </row>
    <row r="27" spans="1:7">
      <c r="A27" s="30">
        <v>44855</v>
      </c>
      <c r="B27" s="30" t="s">
        <v>459</v>
      </c>
      <c r="C27" s="4" t="s">
        <v>107</v>
      </c>
      <c r="D27" s="4" t="s">
        <v>148</v>
      </c>
      <c r="E27" s="4" t="s">
        <v>154</v>
      </c>
      <c r="F27" s="31">
        <v>3</v>
      </c>
      <c r="G27" s="32">
        <v>45.36</v>
      </c>
    </row>
    <row r="28" spans="1:7">
      <c r="A28" s="30">
        <v>44839</v>
      </c>
      <c r="B28" s="30" t="s">
        <v>459</v>
      </c>
      <c r="C28" s="4" t="s">
        <v>107</v>
      </c>
      <c r="D28" s="4" t="s">
        <v>155</v>
      </c>
      <c r="E28" s="4" t="s">
        <v>154</v>
      </c>
      <c r="F28" s="31">
        <v>3</v>
      </c>
      <c r="G28" s="32">
        <v>69.3</v>
      </c>
    </row>
    <row r="29" spans="1:7">
      <c r="A29" s="30">
        <v>44922</v>
      </c>
      <c r="B29" s="30" t="s">
        <v>459</v>
      </c>
      <c r="C29" s="4" t="s">
        <v>107</v>
      </c>
      <c r="D29" s="4" t="s">
        <v>460</v>
      </c>
      <c r="E29" s="4" t="s">
        <v>154</v>
      </c>
      <c r="F29" s="31">
        <v>3</v>
      </c>
      <c r="G29" s="32">
        <v>56.88</v>
      </c>
    </row>
    <row r="30" spans="1:7">
      <c r="A30" s="30">
        <v>44837</v>
      </c>
      <c r="B30" s="30" t="s">
        <v>459</v>
      </c>
      <c r="C30" s="4" t="s">
        <v>107</v>
      </c>
      <c r="D30" s="4" t="s">
        <v>159</v>
      </c>
      <c r="E30" s="4" t="s">
        <v>154</v>
      </c>
      <c r="F30" s="31">
        <v>3</v>
      </c>
      <c r="G30" s="32">
        <v>56.15</v>
      </c>
    </row>
    <row r="31" spans="1:7">
      <c r="A31" s="30">
        <v>44837</v>
      </c>
      <c r="B31" s="30" t="s">
        <v>459</v>
      </c>
      <c r="C31" s="4" t="s">
        <v>107</v>
      </c>
      <c r="D31" s="4" t="s">
        <v>160</v>
      </c>
      <c r="E31" s="4" t="s">
        <v>154</v>
      </c>
      <c r="F31" s="31">
        <v>3</v>
      </c>
      <c r="G31" s="41">
        <v>57</v>
      </c>
    </row>
    <row r="32" spans="1:7">
      <c r="A32" s="30">
        <v>44837</v>
      </c>
      <c r="B32" s="30" t="s">
        <v>459</v>
      </c>
      <c r="C32" s="4" t="s">
        <v>119</v>
      </c>
      <c r="D32" s="4" t="s">
        <v>148</v>
      </c>
      <c r="E32" s="4" t="s">
        <v>154</v>
      </c>
      <c r="F32" s="31">
        <v>3</v>
      </c>
      <c r="G32" s="32">
        <v>58.73</v>
      </c>
    </row>
    <row r="33" spans="1:7">
      <c r="A33" s="30">
        <v>44855</v>
      </c>
      <c r="B33" s="30" t="s">
        <v>459</v>
      </c>
      <c r="C33" s="4" t="s">
        <v>119</v>
      </c>
      <c r="D33" s="4" t="s">
        <v>148</v>
      </c>
      <c r="E33" s="4" t="s">
        <v>154</v>
      </c>
      <c r="F33" s="31">
        <v>3</v>
      </c>
      <c r="G33" s="32">
        <v>54.27</v>
      </c>
    </row>
    <row r="34" spans="1:7">
      <c r="A34" s="30">
        <v>44839</v>
      </c>
      <c r="B34" s="30" t="s">
        <v>459</v>
      </c>
      <c r="C34" s="4" t="s">
        <v>119</v>
      </c>
      <c r="D34" s="4" t="s">
        <v>155</v>
      </c>
      <c r="E34" s="4" t="s">
        <v>154</v>
      </c>
      <c r="F34" s="31">
        <v>3</v>
      </c>
      <c r="G34" s="32">
        <v>122.5</v>
      </c>
    </row>
    <row r="35" spans="1:7">
      <c r="A35" s="30">
        <v>44922</v>
      </c>
      <c r="B35" s="30" t="s">
        <v>459</v>
      </c>
      <c r="C35" s="4" t="s">
        <v>119</v>
      </c>
      <c r="D35" s="4" t="s">
        <v>460</v>
      </c>
      <c r="E35" s="4" t="s">
        <v>154</v>
      </c>
      <c r="F35" s="31">
        <v>3</v>
      </c>
      <c r="G35" s="32">
        <v>68.650000000000006</v>
      </c>
    </row>
    <row r="36" spans="1:7">
      <c r="A36" s="30">
        <v>44837</v>
      </c>
      <c r="B36" s="30" t="s">
        <v>459</v>
      </c>
      <c r="C36" s="4" t="s">
        <v>119</v>
      </c>
      <c r="D36" s="4" t="s">
        <v>159</v>
      </c>
      <c r="E36" s="4" t="s">
        <v>154</v>
      </c>
      <c r="F36" s="31">
        <v>3</v>
      </c>
      <c r="G36" s="32">
        <v>67.87</v>
      </c>
    </row>
    <row r="37" spans="1:7">
      <c r="A37" s="30">
        <v>44837</v>
      </c>
      <c r="B37" s="30" t="s">
        <v>459</v>
      </c>
      <c r="C37" s="4" t="s">
        <v>119</v>
      </c>
      <c r="D37" s="4" t="s">
        <v>160</v>
      </c>
      <c r="E37" s="4" t="s">
        <v>154</v>
      </c>
      <c r="F37" s="31">
        <v>3</v>
      </c>
      <c r="G37" s="41">
        <v>75</v>
      </c>
    </row>
    <row r="38" spans="1:7">
      <c r="A38" s="30">
        <v>44922</v>
      </c>
      <c r="B38" s="30" t="s">
        <v>459</v>
      </c>
      <c r="C38" s="4" t="s">
        <v>108</v>
      </c>
      <c r="D38" s="4" t="s">
        <v>460</v>
      </c>
      <c r="E38" s="4" t="s">
        <v>154</v>
      </c>
      <c r="F38" s="31">
        <v>4</v>
      </c>
      <c r="G38" s="32">
        <v>121.29</v>
      </c>
    </row>
    <row r="39" spans="1:7">
      <c r="A39" s="30">
        <v>44837</v>
      </c>
      <c r="B39" s="30" t="s">
        <v>459</v>
      </c>
      <c r="C39" s="4" t="s">
        <v>108</v>
      </c>
      <c r="D39" s="4" t="s">
        <v>159</v>
      </c>
      <c r="E39" s="4" t="s">
        <v>154</v>
      </c>
      <c r="F39" s="31">
        <v>4</v>
      </c>
      <c r="G39" s="32">
        <v>119.2</v>
      </c>
    </row>
    <row r="40" spans="1:7">
      <c r="A40" s="30">
        <v>44837</v>
      </c>
      <c r="B40" s="30" t="s">
        <v>459</v>
      </c>
      <c r="C40" s="4" t="s">
        <v>108</v>
      </c>
      <c r="D40" s="4" t="s">
        <v>160</v>
      </c>
      <c r="E40" s="4" t="s">
        <v>154</v>
      </c>
      <c r="F40" s="31">
        <v>4</v>
      </c>
      <c r="G40" s="41">
        <v>120</v>
      </c>
    </row>
    <row r="41" spans="1:7">
      <c r="A41" s="30">
        <v>45722</v>
      </c>
      <c r="B41" s="4" t="s">
        <v>461</v>
      </c>
      <c r="C41" s="4" t="s">
        <v>109</v>
      </c>
      <c r="D41" s="4" t="s">
        <v>250</v>
      </c>
      <c r="E41" s="4" t="s">
        <v>154</v>
      </c>
      <c r="F41" s="31">
        <v>3</v>
      </c>
      <c r="G41" s="32">
        <v>75</v>
      </c>
    </row>
    <row r="42" spans="1:7">
      <c r="A42" s="30">
        <v>45722</v>
      </c>
      <c r="B42" s="4" t="s">
        <v>461</v>
      </c>
      <c r="C42" s="4" t="s">
        <v>117</v>
      </c>
      <c r="D42" s="4" t="s">
        <v>250</v>
      </c>
      <c r="E42" s="4" t="s">
        <v>154</v>
      </c>
      <c r="F42" s="31">
        <v>3</v>
      </c>
      <c r="G42" s="32">
        <v>130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87523-3AC4-4380-B0E7-FC6FFA5F3D0A}">
  <sheetPr>
    <tabColor rgb="FFFF0066"/>
  </sheetPr>
  <dimension ref="A1:H10"/>
  <sheetViews>
    <sheetView workbookViewId="0">
      <selection activeCell="D14" sqref="D14"/>
    </sheetView>
  </sheetViews>
  <sheetFormatPr defaultRowHeight="14.4"/>
  <cols>
    <col min="1" max="1" width="46.77734375" bestFit="1" customWidth="1"/>
    <col min="3" max="3" width="12.5546875" bestFit="1" customWidth="1"/>
    <col min="4" max="4" width="12.21875" customWidth="1"/>
  </cols>
  <sheetData>
    <row r="1" spans="1:8">
      <c r="D1" s="5" t="s">
        <v>263</v>
      </c>
    </row>
    <row r="2" spans="1:8">
      <c r="A2" s="5" t="s">
        <v>11</v>
      </c>
      <c r="B2" s="10" t="s">
        <v>23</v>
      </c>
      <c r="C2" s="5" t="s">
        <v>26</v>
      </c>
      <c r="D2" s="51">
        <v>45647</v>
      </c>
      <c r="E2" s="52"/>
      <c r="F2" s="52"/>
      <c r="G2" s="52"/>
      <c r="H2" s="52"/>
    </row>
    <row r="3" spans="1:8">
      <c r="A3" s="3" t="s">
        <v>0</v>
      </c>
      <c r="B3" s="11" t="s">
        <v>24</v>
      </c>
      <c r="C3" s="4" t="s">
        <v>33</v>
      </c>
      <c r="D3" s="41">
        <v>5875</v>
      </c>
      <c r="E3" s="6"/>
      <c r="F3" s="6"/>
      <c r="G3" s="4"/>
      <c r="H3" s="4"/>
    </row>
    <row r="4" spans="1:8">
      <c r="A4" s="3" t="s">
        <v>1</v>
      </c>
      <c r="B4" s="11" t="s">
        <v>24</v>
      </c>
      <c r="C4" s="4" t="s">
        <v>31</v>
      </c>
      <c r="D4" s="41">
        <v>1580</v>
      </c>
      <c r="E4" s="6"/>
      <c r="F4" s="6"/>
      <c r="G4" s="4"/>
      <c r="H4" s="4"/>
    </row>
    <row r="5" spans="1:8">
      <c r="A5" s="3" t="s">
        <v>2</v>
      </c>
      <c r="B5" s="11" t="s">
        <v>24</v>
      </c>
      <c r="C5" s="4" t="s">
        <v>32</v>
      </c>
      <c r="D5" s="41">
        <v>5675</v>
      </c>
      <c r="E5" s="6"/>
      <c r="F5" s="6"/>
      <c r="G5" s="4"/>
      <c r="H5" s="4"/>
    </row>
    <row r="6" spans="1:8">
      <c r="A6" s="3" t="s">
        <v>3</v>
      </c>
      <c r="B6" s="11" t="s">
        <v>24</v>
      </c>
      <c r="C6" s="4" t="s">
        <v>34</v>
      </c>
      <c r="D6" s="41">
        <v>15500</v>
      </c>
      <c r="E6" s="6"/>
      <c r="F6" s="6"/>
      <c r="G6" s="4"/>
      <c r="H6" s="4"/>
    </row>
    <row r="7" spans="1:8">
      <c r="A7" s="3" t="s">
        <v>4</v>
      </c>
      <c r="B7" s="11" t="s">
        <v>24</v>
      </c>
      <c r="C7" s="4" t="s">
        <v>31</v>
      </c>
      <c r="D7" s="41">
        <v>1650</v>
      </c>
      <c r="E7" s="6"/>
      <c r="F7" s="6"/>
      <c r="G7" s="4"/>
      <c r="H7" s="4"/>
    </row>
    <row r="8" spans="1:8">
      <c r="A8" s="3" t="s">
        <v>19</v>
      </c>
      <c r="B8" s="11" t="s">
        <v>24</v>
      </c>
      <c r="C8" s="4" t="s">
        <v>37</v>
      </c>
      <c r="D8" s="41">
        <v>8500</v>
      </c>
      <c r="E8" s="6"/>
      <c r="F8" s="6"/>
      <c r="G8" s="4"/>
      <c r="H8" s="4"/>
    </row>
    <row r="9" spans="1:8">
      <c r="A9" s="3" t="s">
        <v>5</v>
      </c>
      <c r="B9" s="11" t="s">
        <v>24</v>
      </c>
      <c r="C9" s="4" t="s">
        <v>34</v>
      </c>
      <c r="D9" s="41">
        <v>29500</v>
      </c>
      <c r="E9" s="6"/>
      <c r="F9" s="6"/>
      <c r="G9" s="4"/>
      <c r="H9" s="4"/>
    </row>
    <row r="10" spans="1:8">
      <c r="A10" s="3" t="s">
        <v>15</v>
      </c>
      <c r="B10" s="11" t="s">
        <v>24</v>
      </c>
      <c r="C10" s="4" t="s">
        <v>38</v>
      </c>
      <c r="D10" s="41">
        <v>9400</v>
      </c>
      <c r="E10" s="6"/>
      <c r="F10" s="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AC853-EC17-4329-8F2A-8884E5C6D7C1}">
  <dimension ref="A1:H42"/>
  <sheetViews>
    <sheetView zoomScaleNormal="100" workbookViewId="0">
      <selection activeCell="I37" sqref="I37"/>
    </sheetView>
  </sheetViews>
  <sheetFormatPr defaultRowHeight="14.4"/>
  <cols>
    <col min="1" max="1" width="15.77734375" style="9" customWidth="1"/>
    <col min="2" max="3" width="14.33203125" style="9" customWidth="1"/>
    <col min="4" max="4" width="14.44140625" style="9" customWidth="1"/>
    <col min="5" max="5" width="22.109375" style="9" customWidth="1"/>
    <col min="6" max="6" width="15.33203125" style="9" customWidth="1"/>
    <col min="7" max="7" width="15.21875" style="9" customWidth="1"/>
    <col min="8" max="8" width="19.6640625" style="9" customWidth="1"/>
    <col min="9" max="9" width="13.88671875" customWidth="1"/>
    <col min="10" max="10" width="15.6640625" customWidth="1"/>
    <col min="11" max="11" width="15" customWidth="1"/>
    <col min="12" max="12" width="15.33203125" customWidth="1"/>
    <col min="13" max="13" width="9.77734375" bestFit="1" customWidth="1"/>
  </cols>
  <sheetData>
    <row r="1" spans="1:8">
      <c r="A1" s="5" t="s">
        <v>411</v>
      </c>
      <c r="B1" s="5" t="s">
        <v>418</v>
      </c>
      <c r="C1" s="5" t="s">
        <v>103</v>
      </c>
      <c r="D1" s="5" t="s">
        <v>102</v>
      </c>
      <c r="E1" s="5" t="s">
        <v>389</v>
      </c>
      <c r="F1" s="5" t="s">
        <v>101</v>
      </c>
      <c r="G1" s="5" t="s">
        <v>413</v>
      </c>
      <c r="H1" s="82"/>
    </row>
    <row r="2" spans="1:8">
      <c r="A2" s="30">
        <v>45568</v>
      </c>
      <c r="B2" s="4" t="s">
        <v>137</v>
      </c>
      <c r="C2" s="4" t="s">
        <v>462</v>
      </c>
      <c r="D2" s="4" t="s">
        <v>104</v>
      </c>
      <c r="E2" s="4" t="s">
        <v>148</v>
      </c>
      <c r="F2" s="4" t="s">
        <v>138</v>
      </c>
      <c r="G2" s="32">
        <v>15.54</v>
      </c>
    </row>
    <row r="3" spans="1:8">
      <c r="A3" s="30">
        <v>44855</v>
      </c>
      <c r="B3" s="4" t="s">
        <v>137</v>
      </c>
      <c r="C3" s="4" t="s">
        <v>462</v>
      </c>
      <c r="D3" s="4" t="s">
        <v>104</v>
      </c>
      <c r="E3" s="4" t="s">
        <v>148</v>
      </c>
      <c r="F3" s="4" t="s">
        <v>138</v>
      </c>
      <c r="G3" s="32">
        <v>13.94</v>
      </c>
    </row>
    <row r="4" spans="1:8">
      <c r="A4" s="30">
        <v>44839</v>
      </c>
      <c r="B4" s="4" t="s">
        <v>137</v>
      </c>
      <c r="C4" s="4" t="s">
        <v>462</v>
      </c>
      <c r="D4" s="4" t="s">
        <v>104</v>
      </c>
      <c r="E4" s="4" t="s">
        <v>155</v>
      </c>
      <c r="F4" s="4" t="s">
        <v>138</v>
      </c>
      <c r="G4" s="32">
        <v>68.989999999999995</v>
      </c>
    </row>
    <row r="5" spans="1:8">
      <c r="A5" s="30">
        <v>44837</v>
      </c>
      <c r="B5" s="4" t="s">
        <v>137</v>
      </c>
      <c r="C5" s="4" t="s">
        <v>462</v>
      </c>
      <c r="D5" s="4" t="s">
        <v>104</v>
      </c>
      <c r="E5" s="4" t="s">
        <v>160</v>
      </c>
      <c r="F5" s="4" t="s">
        <v>138</v>
      </c>
      <c r="G5" s="41">
        <v>25</v>
      </c>
    </row>
    <row r="6" spans="1:8">
      <c r="A6" s="30">
        <v>44837</v>
      </c>
      <c r="B6" s="4" t="s">
        <v>137</v>
      </c>
      <c r="C6" s="4" t="s">
        <v>462</v>
      </c>
      <c r="D6" s="4" t="s">
        <v>104</v>
      </c>
      <c r="E6" s="4" t="s">
        <v>463</v>
      </c>
      <c r="F6" s="4" t="s">
        <v>129</v>
      </c>
      <c r="G6" s="32">
        <v>81.650000000000006</v>
      </c>
    </row>
    <row r="7" spans="1:8">
      <c r="A7" s="30">
        <v>44922</v>
      </c>
      <c r="B7" s="4" t="s">
        <v>137</v>
      </c>
      <c r="C7" s="4" t="s">
        <v>462</v>
      </c>
      <c r="D7" s="4" t="s">
        <v>104</v>
      </c>
      <c r="E7" s="4" t="s">
        <v>460</v>
      </c>
      <c r="F7" s="4" t="s">
        <v>131</v>
      </c>
      <c r="G7" s="32">
        <v>24.8</v>
      </c>
    </row>
    <row r="8" spans="1:8">
      <c r="A8" s="30">
        <v>45568</v>
      </c>
      <c r="B8" s="4" t="s">
        <v>137</v>
      </c>
      <c r="C8" s="4" t="s">
        <v>462</v>
      </c>
      <c r="D8" s="4" t="s">
        <v>106</v>
      </c>
      <c r="E8" s="4" t="s">
        <v>148</v>
      </c>
      <c r="F8" s="4" t="s">
        <v>129</v>
      </c>
      <c r="G8" s="32">
        <v>33.32</v>
      </c>
    </row>
    <row r="9" spans="1:8">
      <c r="A9" s="30">
        <v>44855</v>
      </c>
      <c r="B9" s="4" t="s">
        <v>137</v>
      </c>
      <c r="C9" s="4" t="s">
        <v>462</v>
      </c>
      <c r="D9" s="4" t="s">
        <v>106</v>
      </c>
      <c r="E9" s="4" t="s">
        <v>148</v>
      </c>
      <c r="F9" s="4" t="s">
        <v>129</v>
      </c>
      <c r="G9" s="32">
        <v>31.2</v>
      </c>
    </row>
    <row r="10" spans="1:8">
      <c r="A10" s="30">
        <v>44839</v>
      </c>
      <c r="B10" s="4" t="s">
        <v>137</v>
      </c>
      <c r="C10" s="4" t="s">
        <v>462</v>
      </c>
      <c r="D10" s="4" t="s">
        <v>106</v>
      </c>
      <c r="E10" s="4" t="s">
        <v>155</v>
      </c>
      <c r="F10" s="4" t="s">
        <v>129</v>
      </c>
      <c r="G10" s="32">
        <v>44.55</v>
      </c>
    </row>
    <row r="11" spans="1:8">
      <c r="A11" s="30">
        <v>44922</v>
      </c>
      <c r="B11" s="4" t="s">
        <v>137</v>
      </c>
      <c r="C11" s="4" t="s">
        <v>462</v>
      </c>
      <c r="D11" s="4" t="s">
        <v>106</v>
      </c>
      <c r="E11" s="4" t="s">
        <v>460</v>
      </c>
      <c r="F11" s="4" t="s">
        <v>129</v>
      </c>
      <c r="G11" s="32">
        <v>33.950000000000003</v>
      </c>
    </row>
    <row r="12" spans="1:8">
      <c r="A12" s="30">
        <v>44837</v>
      </c>
      <c r="B12" s="4" t="s">
        <v>137</v>
      </c>
      <c r="C12" s="4" t="s">
        <v>462</v>
      </c>
      <c r="D12" s="4" t="s">
        <v>106</v>
      </c>
      <c r="E12" s="4" t="s">
        <v>463</v>
      </c>
      <c r="F12" s="4" t="s">
        <v>129</v>
      </c>
      <c r="G12" s="32">
        <v>50.45</v>
      </c>
    </row>
    <row r="13" spans="1:8">
      <c r="A13" s="30">
        <v>44837</v>
      </c>
      <c r="B13" s="4" t="s">
        <v>137</v>
      </c>
      <c r="C13" s="4" t="s">
        <v>462</v>
      </c>
      <c r="D13" s="4" t="s">
        <v>106</v>
      </c>
      <c r="E13" s="4" t="s">
        <v>159</v>
      </c>
      <c r="F13" s="4" t="s">
        <v>129</v>
      </c>
      <c r="G13" s="32">
        <v>36.799999999999997</v>
      </c>
    </row>
    <row r="14" spans="1:8">
      <c r="A14" s="30">
        <v>44837</v>
      </c>
      <c r="B14" s="4" t="s">
        <v>137</v>
      </c>
      <c r="C14" s="4" t="s">
        <v>462</v>
      </c>
      <c r="D14" s="4" t="s">
        <v>106</v>
      </c>
      <c r="E14" s="4" t="s">
        <v>160</v>
      </c>
      <c r="F14" s="4" t="s">
        <v>129</v>
      </c>
      <c r="G14" s="41">
        <v>36</v>
      </c>
    </row>
    <row r="15" spans="1:8">
      <c r="A15" s="30">
        <v>45568</v>
      </c>
      <c r="B15" s="4" t="s">
        <v>137</v>
      </c>
      <c r="C15" s="4" t="s">
        <v>462</v>
      </c>
      <c r="D15" s="4" t="s">
        <v>105</v>
      </c>
      <c r="E15" s="4" t="s">
        <v>148</v>
      </c>
      <c r="F15" s="4" t="s">
        <v>138</v>
      </c>
      <c r="G15" s="32">
        <v>31.85</v>
      </c>
    </row>
    <row r="16" spans="1:8">
      <c r="A16" s="30">
        <v>44855</v>
      </c>
      <c r="B16" s="4" t="s">
        <v>137</v>
      </c>
      <c r="C16" s="4" t="s">
        <v>462</v>
      </c>
      <c r="D16" s="4" t="s">
        <v>105</v>
      </c>
      <c r="E16" s="4" t="s">
        <v>148</v>
      </c>
      <c r="F16" s="4" t="s">
        <v>138</v>
      </c>
      <c r="G16" s="32">
        <v>29.11</v>
      </c>
    </row>
    <row r="17" spans="1:7">
      <c r="A17" s="30">
        <v>44839</v>
      </c>
      <c r="B17" s="4" t="s">
        <v>137</v>
      </c>
      <c r="C17" s="4" t="s">
        <v>462</v>
      </c>
      <c r="D17" s="4" t="s">
        <v>105</v>
      </c>
      <c r="E17" s="4" t="s">
        <v>155</v>
      </c>
      <c r="F17" s="4" t="s">
        <v>138</v>
      </c>
      <c r="G17" s="32">
        <v>129.25</v>
      </c>
    </row>
    <row r="18" spans="1:7">
      <c r="A18" s="30">
        <v>44837</v>
      </c>
      <c r="B18" s="4" t="s">
        <v>137</v>
      </c>
      <c r="C18" s="4" t="s">
        <v>462</v>
      </c>
      <c r="D18" s="4" t="s">
        <v>105</v>
      </c>
      <c r="E18" s="4" t="s">
        <v>463</v>
      </c>
      <c r="F18" s="4" t="s">
        <v>138</v>
      </c>
      <c r="G18" s="32">
        <v>153.15</v>
      </c>
    </row>
    <row r="19" spans="1:7">
      <c r="A19" s="30">
        <v>45568</v>
      </c>
      <c r="B19" s="4" t="s">
        <v>137</v>
      </c>
      <c r="C19" s="4" t="s">
        <v>462</v>
      </c>
      <c r="D19" s="4" t="s">
        <v>105</v>
      </c>
      <c r="E19" s="4" t="s">
        <v>148</v>
      </c>
      <c r="F19" s="4" t="s">
        <v>129</v>
      </c>
      <c r="G19" s="32">
        <v>40.81</v>
      </c>
    </row>
    <row r="20" spans="1:7">
      <c r="A20" s="30">
        <v>44855</v>
      </c>
      <c r="B20" s="4" t="s">
        <v>137</v>
      </c>
      <c r="C20" s="4" t="s">
        <v>462</v>
      </c>
      <c r="D20" s="4" t="s">
        <v>105</v>
      </c>
      <c r="E20" s="4" t="s">
        <v>148</v>
      </c>
      <c r="F20" s="4" t="s">
        <v>129</v>
      </c>
      <c r="G20" s="32">
        <v>38</v>
      </c>
    </row>
    <row r="21" spans="1:7">
      <c r="A21" s="30">
        <v>44839</v>
      </c>
      <c r="B21" s="4" t="s">
        <v>137</v>
      </c>
      <c r="C21" s="4" t="s">
        <v>462</v>
      </c>
      <c r="D21" s="4" t="s">
        <v>105</v>
      </c>
      <c r="E21" s="4" t="s">
        <v>155</v>
      </c>
      <c r="F21" s="4" t="s">
        <v>129</v>
      </c>
      <c r="G21" s="32">
        <v>54.1</v>
      </c>
    </row>
    <row r="22" spans="1:7">
      <c r="A22" s="30">
        <v>44922</v>
      </c>
      <c r="B22" s="4" t="s">
        <v>137</v>
      </c>
      <c r="C22" s="4" t="s">
        <v>462</v>
      </c>
      <c r="D22" s="4" t="s">
        <v>105</v>
      </c>
      <c r="E22" s="4" t="s">
        <v>460</v>
      </c>
      <c r="F22" s="4" t="s">
        <v>129</v>
      </c>
      <c r="G22" s="32">
        <v>41.35</v>
      </c>
    </row>
    <row r="23" spans="1:7">
      <c r="A23" s="30">
        <v>44837</v>
      </c>
      <c r="B23" s="4" t="s">
        <v>137</v>
      </c>
      <c r="C23" s="4" t="s">
        <v>462</v>
      </c>
      <c r="D23" s="4" t="s">
        <v>105</v>
      </c>
      <c r="E23" s="4" t="s">
        <v>463</v>
      </c>
      <c r="F23" s="4" t="s">
        <v>129</v>
      </c>
      <c r="G23" s="32">
        <v>61.7</v>
      </c>
    </row>
    <row r="24" spans="1:7">
      <c r="A24" s="30">
        <v>44837</v>
      </c>
      <c r="B24" s="4" t="s">
        <v>137</v>
      </c>
      <c r="C24" s="4" t="s">
        <v>462</v>
      </c>
      <c r="D24" s="4" t="s">
        <v>105</v>
      </c>
      <c r="E24" s="4" t="s">
        <v>159</v>
      </c>
      <c r="F24" s="4" t="s">
        <v>129</v>
      </c>
      <c r="G24" s="32">
        <v>44.3</v>
      </c>
    </row>
    <row r="25" spans="1:7">
      <c r="A25" s="30">
        <v>44837</v>
      </c>
      <c r="B25" s="4" t="s">
        <v>137</v>
      </c>
      <c r="C25" s="4" t="s">
        <v>462</v>
      </c>
      <c r="D25" s="4" t="s">
        <v>105</v>
      </c>
      <c r="E25" s="4" t="s">
        <v>160</v>
      </c>
      <c r="F25" s="4" t="s">
        <v>129</v>
      </c>
      <c r="G25" s="41">
        <v>46</v>
      </c>
    </row>
    <row r="26" spans="1:7">
      <c r="A26" s="30">
        <v>45568</v>
      </c>
      <c r="B26" s="4" t="s">
        <v>137</v>
      </c>
      <c r="C26" s="4" t="s">
        <v>462</v>
      </c>
      <c r="D26" s="4" t="s">
        <v>107</v>
      </c>
      <c r="E26" s="4" t="s">
        <v>148</v>
      </c>
      <c r="F26" s="4" t="s">
        <v>129</v>
      </c>
      <c r="G26" s="32">
        <v>52.15</v>
      </c>
    </row>
    <row r="27" spans="1:7">
      <c r="A27" s="30">
        <v>44855</v>
      </c>
      <c r="B27" s="4" t="s">
        <v>137</v>
      </c>
      <c r="C27" s="4" t="s">
        <v>462</v>
      </c>
      <c r="D27" s="4" t="s">
        <v>107</v>
      </c>
      <c r="E27" s="4" t="s">
        <v>148</v>
      </c>
      <c r="F27" s="4" t="s">
        <v>129</v>
      </c>
      <c r="G27" s="32">
        <v>49</v>
      </c>
    </row>
    <row r="28" spans="1:7">
      <c r="A28" s="30">
        <v>44839</v>
      </c>
      <c r="B28" s="4" t="s">
        <v>137</v>
      </c>
      <c r="C28" s="4" t="s">
        <v>462</v>
      </c>
      <c r="D28" s="4" t="s">
        <v>107</v>
      </c>
      <c r="E28" s="4" t="s">
        <v>155</v>
      </c>
      <c r="F28" s="4" t="s">
        <v>129</v>
      </c>
      <c r="G28" s="32">
        <v>68</v>
      </c>
    </row>
    <row r="29" spans="1:7">
      <c r="A29" s="30">
        <v>44922</v>
      </c>
      <c r="B29" s="4" t="s">
        <v>137</v>
      </c>
      <c r="C29" s="4" t="s">
        <v>462</v>
      </c>
      <c r="D29" s="4" t="s">
        <v>107</v>
      </c>
      <c r="E29" s="4" t="s">
        <v>460</v>
      </c>
      <c r="F29" s="4" t="s">
        <v>129</v>
      </c>
      <c r="G29" s="32">
        <v>49</v>
      </c>
    </row>
    <row r="30" spans="1:7">
      <c r="A30" s="30">
        <v>44837</v>
      </c>
      <c r="B30" s="4" t="s">
        <v>137</v>
      </c>
      <c r="C30" s="4" t="s">
        <v>462</v>
      </c>
      <c r="D30" s="4" t="s">
        <v>107</v>
      </c>
      <c r="E30" s="4" t="s">
        <v>463</v>
      </c>
      <c r="F30" s="4" t="s">
        <v>129</v>
      </c>
      <c r="G30" s="32">
        <v>77.099999999999994</v>
      </c>
    </row>
    <row r="31" spans="1:7">
      <c r="A31" s="30">
        <v>44837</v>
      </c>
      <c r="B31" s="4" t="s">
        <v>137</v>
      </c>
      <c r="C31" s="4" t="s">
        <v>462</v>
      </c>
      <c r="D31" s="4" t="s">
        <v>107</v>
      </c>
      <c r="E31" s="4" t="s">
        <v>159</v>
      </c>
      <c r="F31" s="4" t="s">
        <v>129</v>
      </c>
      <c r="G31" s="32">
        <v>48.9</v>
      </c>
    </row>
    <row r="32" spans="1:7">
      <c r="A32" s="30">
        <v>44837</v>
      </c>
      <c r="B32" s="4" t="s">
        <v>137</v>
      </c>
      <c r="C32" s="4" t="s">
        <v>462</v>
      </c>
      <c r="D32" s="4" t="s">
        <v>107</v>
      </c>
      <c r="E32" s="4" t="s">
        <v>160</v>
      </c>
      <c r="F32" s="4" t="s">
        <v>129</v>
      </c>
      <c r="G32" s="38">
        <v>57</v>
      </c>
    </row>
    <row r="33" spans="1:7">
      <c r="A33" s="30">
        <v>45568</v>
      </c>
      <c r="B33" s="4" t="s">
        <v>137</v>
      </c>
      <c r="C33" s="4" t="s">
        <v>462</v>
      </c>
      <c r="D33" s="4" t="s">
        <v>108</v>
      </c>
      <c r="E33" s="4" t="s">
        <v>148</v>
      </c>
      <c r="F33" s="4" t="s">
        <v>129</v>
      </c>
      <c r="G33" s="32">
        <v>98.7</v>
      </c>
    </row>
    <row r="34" spans="1:7">
      <c r="A34" s="30">
        <v>44855</v>
      </c>
      <c r="B34" s="4" t="s">
        <v>137</v>
      </c>
      <c r="C34" s="4" t="s">
        <v>462</v>
      </c>
      <c r="D34" s="4" t="s">
        <v>108</v>
      </c>
      <c r="E34" s="4" t="s">
        <v>148</v>
      </c>
      <c r="F34" s="4" t="s">
        <v>129</v>
      </c>
      <c r="G34" s="32">
        <v>92.81</v>
      </c>
    </row>
    <row r="35" spans="1:7">
      <c r="A35" s="30">
        <v>44839</v>
      </c>
      <c r="B35" s="4" t="s">
        <v>137</v>
      </c>
      <c r="C35" s="4" t="s">
        <v>462</v>
      </c>
      <c r="D35" s="4" t="s">
        <v>108</v>
      </c>
      <c r="E35" s="4" t="s">
        <v>155</v>
      </c>
      <c r="F35" s="4" t="s">
        <v>129</v>
      </c>
      <c r="G35" s="32">
        <v>113.85</v>
      </c>
    </row>
    <row r="36" spans="1:7">
      <c r="A36" s="30">
        <v>44922</v>
      </c>
      <c r="B36" s="4" t="s">
        <v>137</v>
      </c>
      <c r="C36" s="4" t="s">
        <v>462</v>
      </c>
      <c r="D36" s="4" t="s">
        <v>108</v>
      </c>
      <c r="E36" s="4" t="s">
        <v>460</v>
      </c>
      <c r="F36" s="4" t="s">
        <v>129</v>
      </c>
      <c r="G36" s="32">
        <v>82</v>
      </c>
    </row>
    <row r="37" spans="1:7">
      <c r="A37" s="30">
        <v>44837</v>
      </c>
      <c r="B37" s="4" t="s">
        <v>137</v>
      </c>
      <c r="C37" s="4" t="s">
        <v>462</v>
      </c>
      <c r="D37" s="4" t="s">
        <v>108</v>
      </c>
      <c r="E37" s="4" t="s">
        <v>463</v>
      </c>
      <c r="F37" s="4" t="s">
        <v>129</v>
      </c>
      <c r="G37" s="32">
        <v>128.94999999999999</v>
      </c>
    </row>
    <row r="38" spans="1:7">
      <c r="A38" s="30">
        <v>44837</v>
      </c>
      <c r="B38" s="4" t="s">
        <v>137</v>
      </c>
      <c r="C38" s="4" t="s">
        <v>462</v>
      </c>
      <c r="D38" s="4" t="s">
        <v>108</v>
      </c>
      <c r="E38" s="4" t="s">
        <v>159</v>
      </c>
      <c r="F38" s="4" t="s">
        <v>129</v>
      </c>
      <c r="G38" s="32">
        <v>105.8</v>
      </c>
    </row>
    <row r="39" spans="1:7">
      <c r="A39" s="30">
        <v>44837</v>
      </c>
      <c r="B39" s="4" t="s">
        <v>137</v>
      </c>
      <c r="C39" s="4" t="s">
        <v>462</v>
      </c>
      <c r="D39" s="4" t="s">
        <v>108</v>
      </c>
      <c r="E39" s="4" t="s">
        <v>160</v>
      </c>
      <c r="F39" s="4" t="s">
        <v>129</v>
      </c>
      <c r="G39" s="41">
        <v>105</v>
      </c>
    </row>
    <row r="40" spans="1:7">
      <c r="A40" s="30">
        <v>44855</v>
      </c>
      <c r="B40" s="4" t="s">
        <v>137</v>
      </c>
      <c r="C40" s="4" t="s">
        <v>462</v>
      </c>
      <c r="D40" s="4" t="s">
        <v>108</v>
      </c>
      <c r="E40" s="4" t="s">
        <v>148</v>
      </c>
      <c r="F40" s="4" t="s">
        <v>138</v>
      </c>
      <c r="G40" s="32">
        <v>70.06</v>
      </c>
    </row>
    <row r="41" spans="1:7">
      <c r="A41" s="30">
        <v>44839</v>
      </c>
      <c r="B41" s="4" t="s">
        <v>137</v>
      </c>
      <c r="C41" s="4" t="s">
        <v>462</v>
      </c>
      <c r="D41" s="4" t="s">
        <v>108</v>
      </c>
      <c r="E41" s="4" t="s">
        <v>155</v>
      </c>
      <c r="F41" s="4" t="s">
        <v>138</v>
      </c>
      <c r="G41" s="32">
        <v>349.85</v>
      </c>
    </row>
    <row r="42" spans="1:7">
      <c r="A42" s="30">
        <v>44837</v>
      </c>
      <c r="B42" s="4" t="s">
        <v>137</v>
      </c>
      <c r="C42" s="4" t="s">
        <v>462</v>
      </c>
      <c r="D42" s="4" t="s">
        <v>108</v>
      </c>
      <c r="E42" s="4" t="s">
        <v>463</v>
      </c>
      <c r="F42" s="4" t="s">
        <v>138</v>
      </c>
      <c r="G42" s="32">
        <v>382.1</v>
      </c>
    </row>
  </sheetData>
  <phoneticPr fontId="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ACADF-5309-449D-ADFD-82203B9CD418}">
  <sheetPr>
    <tabColor rgb="FFFF0066"/>
  </sheetPr>
  <dimension ref="A1:S77"/>
  <sheetViews>
    <sheetView tabSelected="1" zoomScale="70" zoomScaleNormal="70" workbookViewId="0">
      <selection activeCell="E7" sqref="E7:E16"/>
    </sheetView>
  </sheetViews>
  <sheetFormatPr defaultRowHeight="14.4"/>
  <cols>
    <col min="2" max="2" width="51.6640625" customWidth="1"/>
    <col min="3" max="4" width="14.44140625" style="9" customWidth="1"/>
    <col min="5" max="5" width="22.21875" style="9" bestFit="1" customWidth="1"/>
    <col min="6" max="6" width="11.88671875" style="9" customWidth="1"/>
    <col min="7" max="7" width="25.6640625" bestFit="1" customWidth="1"/>
    <col min="9" max="10" width="13.44140625" customWidth="1"/>
    <col min="11" max="11" width="14.33203125" style="8" bestFit="1" customWidth="1"/>
    <col min="12" max="12" width="14.77734375" style="14" bestFit="1" customWidth="1"/>
    <col min="13" max="13" width="14.77734375" style="8" bestFit="1" customWidth="1"/>
    <col min="14" max="14" width="17" customWidth="1"/>
    <col min="15" max="15" width="16.88671875" style="9" customWidth="1"/>
    <col min="17" max="18" width="10.88671875" bestFit="1" customWidth="1"/>
    <col min="19" max="19" width="9.77734375" bestFit="1" customWidth="1"/>
    <col min="20" max="20" width="10.109375" bestFit="1" customWidth="1"/>
    <col min="21" max="21" width="10.88671875" bestFit="1" customWidth="1"/>
    <col min="22" max="22" width="11.5546875" customWidth="1"/>
  </cols>
  <sheetData>
    <row r="1" spans="1:19">
      <c r="C1" s="4"/>
      <c r="D1" s="4"/>
      <c r="E1" s="4"/>
      <c r="F1" s="4"/>
      <c r="G1" s="2"/>
      <c r="H1" s="2"/>
      <c r="I1" s="92" t="s">
        <v>89</v>
      </c>
      <c r="J1" s="92"/>
      <c r="K1" s="90" t="s">
        <v>89</v>
      </c>
      <c r="L1" s="90"/>
      <c r="M1" s="4" t="s">
        <v>89</v>
      </c>
      <c r="N1" s="4" t="s">
        <v>251</v>
      </c>
      <c r="O1" s="4" t="s">
        <v>402</v>
      </c>
    </row>
    <row r="2" spans="1:19">
      <c r="A2" s="7"/>
      <c r="B2" s="73"/>
      <c r="C2" s="4" t="s">
        <v>102</v>
      </c>
      <c r="D2" s="4" t="s">
        <v>418</v>
      </c>
      <c r="E2" s="4" t="s">
        <v>103</v>
      </c>
      <c r="F2" s="4" t="s">
        <v>101</v>
      </c>
      <c r="G2" s="4" t="s">
        <v>194</v>
      </c>
      <c r="H2" s="4"/>
      <c r="I2" s="91">
        <v>44615</v>
      </c>
      <c r="J2" s="91"/>
      <c r="K2" s="91">
        <v>44844</v>
      </c>
      <c r="L2" s="91"/>
      <c r="M2" s="23">
        <v>45631</v>
      </c>
      <c r="N2" s="29">
        <v>44866</v>
      </c>
      <c r="O2" s="30">
        <v>45918</v>
      </c>
    </row>
    <row r="3" spans="1:19">
      <c r="B3" s="73" t="s">
        <v>53</v>
      </c>
      <c r="C3" s="4" t="s">
        <v>104</v>
      </c>
      <c r="D3" s="4" t="s">
        <v>475</v>
      </c>
      <c r="E3" s="4" t="s">
        <v>476</v>
      </c>
      <c r="F3" s="4" t="s">
        <v>129</v>
      </c>
      <c r="G3" s="2" t="s">
        <v>212</v>
      </c>
      <c r="H3" s="2"/>
      <c r="I3" s="45"/>
      <c r="J3" s="2"/>
      <c r="K3" s="19">
        <v>487.6</v>
      </c>
      <c r="L3" s="21">
        <v>26.18689581095596</v>
      </c>
      <c r="M3" s="3"/>
      <c r="N3" s="19">
        <v>561</v>
      </c>
      <c r="O3" s="4"/>
    </row>
    <row r="4" spans="1:19">
      <c r="B4" s="74" t="s">
        <v>78</v>
      </c>
      <c r="C4" s="4" t="s">
        <v>106</v>
      </c>
      <c r="D4" s="4" t="s">
        <v>475</v>
      </c>
      <c r="E4" s="4" t="s">
        <v>476</v>
      </c>
      <c r="F4" s="4" t="s">
        <v>129</v>
      </c>
      <c r="G4" s="2" t="s">
        <v>212</v>
      </c>
      <c r="H4" s="2"/>
      <c r="I4" s="45"/>
      <c r="J4" s="2"/>
      <c r="K4" s="19">
        <v>735</v>
      </c>
      <c r="L4" s="21">
        <v>39.473684210526315</v>
      </c>
      <c r="M4" s="3"/>
      <c r="N4" s="2"/>
      <c r="O4" s="4"/>
    </row>
    <row r="5" spans="1:19">
      <c r="B5" s="74" t="s">
        <v>71</v>
      </c>
      <c r="C5" s="4" t="s">
        <v>105</v>
      </c>
      <c r="D5" s="4" t="s">
        <v>475</v>
      </c>
      <c r="E5" s="4" t="s">
        <v>476</v>
      </c>
      <c r="F5" s="4" t="s">
        <v>129</v>
      </c>
      <c r="G5" s="2" t="s">
        <v>212</v>
      </c>
      <c r="H5" s="2"/>
      <c r="I5" s="45"/>
      <c r="J5" s="2"/>
      <c r="K5" s="19">
        <v>1238.55</v>
      </c>
      <c r="L5" s="21">
        <v>66.517185821697097</v>
      </c>
      <c r="M5" s="3"/>
      <c r="N5" s="19">
        <v>1300</v>
      </c>
      <c r="O5" s="4"/>
      <c r="R5" s="20"/>
      <c r="S5" s="20"/>
    </row>
    <row r="6" spans="1:19">
      <c r="B6" s="74"/>
      <c r="C6" s="4" t="s">
        <v>107</v>
      </c>
      <c r="D6" s="4" t="s">
        <v>475</v>
      </c>
      <c r="E6" s="4" t="s">
        <v>476</v>
      </c>
      <c r="F6" s="4"/>
      <c r="G6" s="2" t="s">
        <v>212</v>
      </c>
      <c r="H6" s="2"/>
      <c r="I6" s="45">
        <v>915.2</v>
      </c>
      <c r="J6" s="2"/>
      <c r="K6" s="19"/>
      <c r="L6" s="21"/>
      <c r="M6" s="3"/>
      <c r="N6" s="2"/>
      <c r="O6" s="4"/>
      <c r="R6" s="20"/>
      <c r="S6" s="20"/>
    </row>
    <row r="7" spans="1:19">
      <c r="B7" s="75" t="s">
        <v>80</v>
      </c>
      <c r="C7" s="4" t="s">
        <v>105</v>
      </c>
      <c r="D7" s="4" t="s">
        <v>475</v>
      </c>
      <c r="E7" s="4" t="s">
        <v>214</v>
      </c>
      <c r="F7" s="4" t="s">
        <v>129</v>
      </c>
      <c r="G7" s="2" t="s">
        <v>214</v>
      </c>
      <c r="H7" s="2"/>
      <c r="I7" s="45"/>
      <c r="J7" s="2"/>
      <c r="K7" s="19">
        <v>7155</v>
      </c>
      <c r="L7" s="21">
        <v>384.2642320085929</v>
      </c>
      <c r="M7" s="3"/>
      <c r="N7" s="2"/>
      <c r="O7" s="4"/>
      <c r="R7" s="20"/>
      <c r="S7" s="20"/>
    </row>
    <row r="8" spans="1:19">
      <c r="B8" s="75" t="s">
        <v>81</v>
      </c>
      <c r="C8" s="4" t="s">
        <v>105</v>
      </c>
      <c r="D8" s="4" t="s">
        <v>475</v>
      </c>
      <c r="E8" s="4" t="s">
        <v>214</v>
      </c>
      <c r="F8" s="4" t="s">
        <v>131</v>
      </c>
      <c r="G8" s="2" t="s">
        <v>215</v>
      </c>
      <c r="H8" s="2"/>
      <c r="I8" s="45"/>
      <c r="J8" s="2"/>
      <c r="K8" s="3"/>
      <c r="L8" s="21"/>
      <c r="M8" s="16">
        <v>447</v>
      </c>
      <c r="N8" s="2"/>
      <c r="O8" s="4"/>
      <c r="R8" s="20"/>
      <c r="S8" s="20"/>
    </row>
    <row r="9" spans="1:19">
      <c r="B9" s="75" t="s">
        <v>79</v>
      </c>
      <c r="C9" s="4" t="s">
        <v>108</v>
      </c>
      <c r="D9" s="4" t="s">
        <v>475</v>
      </c>
      <c r="E9" s="4" t="s">
        <v>214</v>
      </c>
      <c r="F9" s="4" t="s">
        <v>129</v>
      </c>
      <c r="G9" s="2" t="s">
        <v>214</v>
      </c>
      <c r="H9" s="2"/>
      <c r="I9" s="45"/>
      <c r="J9" s="2"/>
      <c r="K9" s="19">
        <v>11890</v>
      </c>
      <c r="L9" s="21">
        <v>638.56068743286789</v>
      </c>
      <c r="M9" s="3"/>
      <c r="N9" s="2"/>
      <c r="O9" s="4"/>
      <c r="R9" s="20"/>
      <c r="S9" s="20"/>
    </row>
    <row r="10" spans="1:19">
      <c r="B10" s="75" t="s">
        <v>84</v>
      </c>
      <c r="C10" s="4" t="s">
        <v>109</v>
      </c>
      <c r="D10" s="4" t="s">
        <v>475</v>
      </c>
      <c r="E10" s="4" t="s">
        <v>214</v>
      </c>
      <c r="F10" s="4" t="s">
        <v>129</v>
      </c>
      <c r="G10" s="2" t="s">
        <v>215</v>
      </c>
      <c r="H10" s="2"/>
      <c r="I10" s="45"/>
      <c r="J10" s="2"/>
      <c r="K10" s="3"/>
      <c r="L10" s="21"/>
      <c r="M10" s="16">
        <v>1138.8</v>
      </c>
      <c r="N10" s="2"/>
      <c r="O10" s="4"/>
      <c r="R10" s="20"/>
      <c r="S10" s="20"/>
    </row>
    <row r="11" spans="1:19">
      <c r="B11" s="76" t="s">
        <v>64</v>
      </c>
      <c r="C11" s="4" t="s">
        <v>110</v>
      </c>
      <c r="D11" s="4" t="s">
        <v>475</v>
      </c>
      <c r="E11" s="4" t="s">
        <v>214</v>
      </c>
      <c r="F11" s="4" t="s">
        <v>129</v>
      </c>
      <c r="G11" s="2" t="s">
        <v>215</v>
      </c>
      <c r="H11" s="2"/>
      <c r="I11" s="45"/>
      <c r="J11" s="2"/>
      <c r="K11" s="16">
        <v>1942.35</v>
      </c>
      <c r="L11" s="21">
        <v>1942.35</v>
      </c>
      <c r="M11" s="16">
        <v>1631.4</v>
      </c>
      <c r="N11" s="2"/>
      <c r="O11" s="4"/>
      <c r="R11" s="20"/>
      <c r="S11" s="20"/>
    </row>
    <row r="12" spans="1:19">
      <c r="B12" s="76"/>
      <c r="C12" s="4" t="s">
        <v>110</v>
      </c>
      <c r="D12" s="4" t="s">
        <v>475</v>
      </c>
      <c r="E12" s="4" t="s">
        <v>214</v>
      </c>
      <c r="F12" s="4" t="s">
        <v>129</v>
      </c>
      <c r="G12" s="2" t="s">
        <v>223</v>
      </c>
      <c r="H12" s="2"/>
      <c r="I12" s="45">
        <v>23402.5</v>
      </c>
      <c r="J12" s="21">
        <v>1700.7630813953488</v>
      </c>
      <c r="K12" s="16"/>
      <c r="L12" s="21"/>
      <c r="M12" s="16"/>
      <c r="N12" s="2"/>
      <c r="O12" s="4"/>
      <c r="R12" s="20"/>
      <c r="S12" s="20"/>
    </row>
    <row r="13" spans="1:19">
      <c r="B13" s="75" t="s">
        <v>86</v>
      </c>
      <c r="C13" s="4" t="s">
        <v>117</v>
      </c>
      <c r="D13" s="4" t="s">
        <v>475</v>
      </c>
      <c r="E13" s="4" t="s">
        <v>214</v>
      </c>
      <c r="F13" s="4" t="s">
        <v>129</v>
      </c>
      <c r="G13" s="2" t="s">
        <v>215</v>
      </c>
      <c r="H13" s="2"/>
      <c r="I13" s="45"/>
      <c r="J13" s="21">
        <v>0</v>
      </c>
      <c r="K13" s="3"/>
      <c r="L13" s="25"/>
      <c r="M13" s="16">
        <v>2242.1999999999998</v>
      </c>
      <c r="N13" s="2"/>
      <c r="O13" s="4"/>
      <c r="R13" s="20"/>
      <c r="S13" s="20"/>
    </row>
    <row r="14" spans="1:19">
      <c r="B14" s="75" t="s">
        <v>83</v>
      </c>
      <c r="C14" s="4" t="s">
        <v>115</v>
      </c>
      <c r="D14" s="4" t="s">
        <v>475</v>
      </c>
      <c r="E14" s="4" t="s">
        <v>214</v>
      </c>
      <c r="F14" s="4" t="s">
        <v>129</v>
      </c>
      <c r="G14" s="2" t="s">
        <v>215</v>
      </c>
      <c r="H14" s="2"/>
      <c r="I14" s="45"/>
      <c r="J14" s="21">
        <v>0</v>
      </c>
      <c r="K14" s="3"/>
      <c r="L14" s="25"/>
      <c r="M14" s="16">
        <v>2576.4</v>
      </c>
      <c r="N14" s="2"/>
      <c r="O14" s="4"/>
      <c r="R14" s="20"/>
      <c r="S14" s="20"/>
    </row>
    <row r="15" spans="1:19">
      <c r="B15" s="75"/>
      <c r="C15" s="4" t="s">
        <v>116</v>
      </c>
      <c r="D15" s="4" t="s">
        <v>475</v>
      </c>
      <c r="E15" s="4" t="s">
        <v>214</v>
      </c>
      <c r="F15" s="4" t="s">
        <v>129</v>
      </c>
      <c r="G15" s="2" t="s">
        <v>215</v>
      </c>
      <c r="H15" s="2"/>
      <c r="I15" s="45"/>
      <c r="J15" s="21"/>
      <c r="K15" s="3"/>
      <c r="L15" s="25"/>
      <c r="M15" s="16"/>
      <c r="N15" s="2"/>
      <c r="O15" s="41">
        <v>2571</v>
      </c>
      <c r="R15" s="20"/>
      <c r="S15" s="20"/>
    </row>
    <row r="16" spans="1:19">
      <c r="B16" s="75" t="s">
        <v>90</v>
      </c>
      <c r="C16" s="4" t="s">
        <v>118</v>
      </c>
      <c r="D16" s="4" t="s">
        <v>475</v>
      </c>
      <c r="E16" s="4" t="s">
        <v>214</v>
      </c>
      <c r="F16" s="4" t="s">
        <v>131</v>
      </c>
      <c r="G16" s="2" t="s">
        <v>215</v>
      </c>
      <c r="H16" s="2"/>
      <c r="I16" s="45"/>
      <c r="J16" s="21">
        <v>0</v>
      </c>
      <c r="K16" s="3"/>
      <c r="L16" s="25"/>
      <c r="M16" s="16">
        <v>10444.799999999999</v>
      </c>
      <c r="N16" s="2"/>
      <c r="O16" s="4"/>
      <c r="R16" s="20"/>
      <c r="S16" s="20"/>
    </row>
    <row r="17" spans="2:15">
      <c r="B17" s="75"/>
      <c r="C17" s="4"/>
      <c r="D17" s="4"/>
      <c r="E17" s="4"/>
      <c r="F17" s="4"/>
      <c r="G17" s="2"/>
      <c r="H17" s="2"/>
      <c r="I17" s="45"/>
      <c r="J17" s="21">
        <v>0</v>
      </c>
      <c r="K17" s="3"/>
      <c r="L17" s="25"/>
      <c r="M17" s="16"/>
      <c r="N17" s="2"/>
      <c r="O17" s="4"/>
    </row>
    <row r="18" spans="2:15">
      <c r="B18" s="74" t="s">
        <v>77</v>
      </c>
      <c r="C18" s="4" t="s">
        <v>106</v>
      </c>
      <c r="D18" s="4"/>
      <c r="E18" s="4" t="s">
        <v>122</v>
      </c>
      <c r="F18" s="4" t="s">
        <v>130</v>
      </c>
      <c r="G18" s="2" t="s">
        <v>216</v>
      </c>
      <c r="H18" s="2"/>
      <c r="I18" s="45">
        <v>2004.2</v>
      </c>
      <c r="J18" s="21">
        <v>145.65406976744185</v>
      </c>
      <c r="K18" s="19">
        <v>3730</v>
      </c>
      <c r="L18" s="21">
        <v>200.3222341568206</v>
      </c>
      <c r="M18" s="3"/>
      <c r="N18" s="2"/>
      <c r="O18" s="4"/>
    </row>
    <row r="19" spans="2:15">
      <c r="B19" s="73" t="s">
        <v>55</v>
      </c>
      <c r="C19" s="4" t="s">
        <v>105</v>
      </c>
      <c r="D19" s="4"/>
      <c r="E19" s="4" t="s">
        <v>122</v>
      </c>
      <c r="F19" s="4" t="s">
        <v>130</v>
      </c>
      <c r="G19" s="2" t="s">
        <v>216</v>
      </c>
      <c r="H19" s="2"/>
      <c r="I19" s="45">
        <v>2629</v>
      </c>
      <c r="J19" s="21">
        <v>191.06104651162792</v>
      </c>
      <c r="K19" s="19">
        <v>4227.3999999999996</v>
      </c>
      <c r="L19" s="21">
        <v>227.03544575725024</v>
      </c>
      <c r="M19" s="16"/>
      <c r="N19" s="19">
        <v>4862</v>
      </c>
      <c r="O19" s="4"/>
    </row>
    <row r="20" spans="2:15">
      <c r="B20" s="73" t="s">
        <v>57</v>
      </c>
      <c r="C20" s="4" t="s">
        <v>107</v>
      </c>
      <c r="D20" s="4"/>
      <c r="E20" s="4" t="s">
        <v>122</v>
      </c>
      <c r="F20" s="4" t="s">
        <v>130</v>
      </c>
      <c r="G20" s="2" t="s">
        <v>216</v>
      </c>
      <c r="H20" s="2"/>
      <c r="I20" s="45"/>
      <c r="J20" s="21">
        <v>0</v>
      </c>
      <c r="K20" s="19">
        <v>5409.6</v>
      </c>
      <c r="L20" s="21">
        <v>290.5263157894737</v>
      </c>
      <c r="M20" s="16"/>
      <c r="N20" s="19"/>
      <c r="O20" s="4"/>
    </row>
    <row r="21" spans="2:15">
      <c r="B21" s="73"/>
      <c r="C21" s="4" t="s">
        <v>119</v>
      </c>
      <c r="D21" s="4"/>
      <c r="E21" s="4" t="s">
        <v>122</v>
      </c>
      <c r="F21" s="4" t="s">
        <v>131</v>
      </c>
      <c r="G21" s="2" t="s">
        <v>216</v>
      </c>
      <c r="H21" s="2"/>
      <c r="I21" s="45">
        <v>4246.1099999999997</v>
      </c>
      <c r="J21" s="21">
        <v>308.58357558139534</v>
      </c>
      <c r="K21" s="19"/>
      <c r="L21" s="21"/>
      <c r="M21" s="16"/>
      <c r="N21" s="2"/>
      <c r="O21" s="4"/>
    </row>
    <row r="22" spans="2:15">
      <c r="B22" s="73"/>
      <c r="C22" s="4" t="s">
        <v>114</v>
      </c>
      <c r="D22" s="4"/>
      <c r="E22" s="4" t="s">
        <v>122</v>
      </c>
      <c r="F22" s="4" t="s">
        <v>129</v>
      </c>
      <c r="G22" s="2" t="s">
        <v>216</v>
      </c>
      <c r="H22" s="2"/>
      <c r="I22" s="45">
        <v>9577.7000000000007</v>
      </c>
      <c r="J22" s="21">
        <v>696.05377906976753</v>
      </c>
      <c r="K22" s="19"/>
      <c r="L22" s="21"/>
      <c r="M22" s="16"/>
      <c r="N22" s="2"/>
      <c r="O22" s="4"/>
    </row>
    <row r="23" spans="2:15">
      <c r="B23" s="73"/>
      <c r="C23" s="4" t="s">
        <v>109</v>
      </c>
      <c r="D23" s="4"/>
      <c r="E23" s="4" t="s">
        <v>122</v>
      </c>
      <c r="F23" s="4" t="s">
        <v>129</v>
      </c>
      <c r="G23" s="2" t="s">
        <v>216</v>
      </c>
      <c r="H23" s="2"/>
      <c r="I23" s="45">
        <v>13069.1</v>
      </c>
      <c r="J23" s="21">
        <v>949.78924418604652</v>
      </c>
      <c r="K23" s="19"/>
      <c r="L23" s="21"/>
      <c r="M23" s="16"/>
      <c r="N23" s="2"/>
      <c r="O23" s="4"/>
    </row>
    <row r="24" spans="2:15">
      <c r="B24" s="75" t="s">
        <v>95</v>
      </c>
      <c r="C24" s="4" t="s">
        <v>110</v>
      </c>
      <c r="D24" s="4"/>
      <c r="E24" s="4" t="s">
        <v>126</v>
      </c>
      <c r="F24" s="4" t="s">
        <v>129</v>
      </c>
      <c r="G24" s="2" t="s">
        <v>217</v>
      </c>
      <c r="H24" s="2"/>
      <c r="I24" s="45">
        <v>14214</v>
      </c>
      <c r="J24" s="21">
        <v>1032.9941860465117</v>
      </c>
      <c r="K24" s="3"/>
      <c r="L24" s="25"/>
      <c r="M24" s="16">
        <v>1516.2</v>
      </c>
      <c r="N24" s="2"/>
      <c r="O24" s="4"/>
    </row>
    <row r="25" spans="2:15">
      <c r="B25" s="75" t="s">
        <v>85</v>
      </c>
      <c r="C25" s="4" t="s">
        <v>115</v>
      </c>
      <c r="D25" s="4"/>
      <c r="E25" s="4" t="s">
        <v>126</v>
      </c>
      <c r="F25" s="4" t="s">
        <v>129</v>
      </c>
      <c r="G25" s="2" t="s">
        <v>217</v>
      </c>
      <c r="H25" s="2"/>
      <c r="I25" s="45"/>
      <c r="J25" s="21">
        <v>0</v>
      </c>
      <c r="K25" s="3"/>
      <c r="L25" s="25"/>
      <c r="M25" s="16">
        <v>2687.4</v>
      </c>
      <c r="N25" s="2"/>
      <c r="O25" s="4"/>
    </row>
    <row r="26" spans="2:15">
      <c r="B26" s="75"/>
      <c r="C26" s="4"/>
      <c r="D26" s="4"/>
      <c r="E26" s="4"/>
      <c r="F26" s="4"/>
      <c r="G26" s="2"/>
      <c r="H26" s="2"/>
      <c r="I26" s="45"/>
      <c r="J26" s="21">
        <v>0</v>
      </c>
      <c r="K26" s="3"/>
      <c r="L26" s="25"/>
      <c r="M26" s="16"/>
      <c r="N26" s="2"/>
      <c r="O26" s="4"/>
    </row>
    <row r="27" spans="2:15">
      <c r="B27" s="75" t="s">
        <v>96</v>
      </c>
      <c r="C27" s="4" t="s">
        <v>104</v>
      </c>
      <c r="D27" s="4"/>
      <c r="E27" s="4" t="s">
        <v>124</v>
      </c>
      <c r="F27" s="4" t="s">
        <v>131</v>
      </c>
      <c r="G27" s="2" t="s">
        <v>218</v>
      </c>
      <c r="H27" s="2"/>
      <c r="I27" s="45"/>
      <c r="J27" s="21">
        <v>0</v>
      </c>
      <c r="K27" s="3"/>
      <c r="L27" s="25"/>
      <c r="M27" s="16">
        <v>73.44</v>
      </c>
      <c r="N27" s="2"/>
      <c r="O27" s="4"/>
    </row>
    <row r="28" spans="2:15">
      <c r="B28" s="74" t="s">
        <v>67</v>
      </c>
      <c r="C28" s="4" t="s">
        <v>111</v>
      </c>
      <c r="D28" s="4"/>
      <c r="E28" s="4" t="s">
        <v>121</v>
      </c>
      <c r="F28" s="4" t="s">
        <v>129</v>
      </c>
      <c r="G28" s="2"/>
      <c r="H28" s="2"/>
      <c r="I28" s="45"/>
      <c r="J28" s="21">
        <v>0</v>
      </c>
      <c r="K28" s="19">
        <v>2702.5</v>
      </c>
      <c r="L28" s="21">
        <v>145.13963480128893</v>
      </c>
      <c r="M28" s="16"/>
      <c r="N28" s="19">
        <v>2838</v>
      </c>
      <c r="O28" s="4"/>
    </row>
    <row r="29" spans="2:15">
      <c r="B29" s="74" t="s">
        <v>68</v>
      </c>
      <c r="C29" s="4" t="s">
        <v>106</v>
      </c>
      <c r="D29" s="4"/>
      <c r="E29" s="4" t="s">
        <v>121</v>
      </c>
      <c r="F29" s="4" t="s">
        <v>129</v>
      </c>
      <c r="G29" s="2"/>
      <c r="H29" s="2"/>
      <c r="I29" s="45">
        <v>1703.9</v>
      </c>
      <c r="J29" s="21">
        <v>123.82994186046513</v>
      </c>
      <c r="K29" s="19">
        <v>2946.3</v>
      </c>
      <c r="L29" s="21">
        <v>158.23308270676691</v>
      </c>
      <c r="M29" s="16"/>
      <c r="N29" s="19">
        <v>3094</v>
      </c>
      <c r="O29" s="4"/>
    </row>
    <row r="30" spans="2:15">
      <c r="B30" s="73" t="s">
        <v>54</v>
      </c>
      <c r="C30" s="4" t="s">
        <v>105</v>
      </c>
      <c r="D30" s="4"/>
      <c r="E30" s="4" t="s">
        <v>121</v>
      </c>
      <c r="F30" s="4" t="s">
        <v>129</v>
      </c>
      <c r="G30" s="2"/>
      <c r="H30" s="2"/>
      <c r="I30" s="45">
        <v>1853.5</v>
      </c>
      <c r="J30" s="21">
        <v>134.70203488372093</v>
      </c>
      <c r="K30" s="19">
        <v>3043</v>
      </c>
      <c r="L30" s="21">
        <v>163.42642320085929</v>
      </c>
      <c r="M30" s="16"/>
      <c r="N30" s="19">
        <v>2806</v>
      </c>
      <c r="O30" s="4"/>
    </row>
    <row r="31" spans="2:15">
      <c r="B31" s="73" t="s">
        <v>59</v>
      </c>
      <c r="C31" s="4" t="s">
        <v>105</v>
      </c>
      <c r="D31" s="4"/>
      <c r="E31" s="4" t="s">
        <v>121</v>
      </c>
      <c r="F31" s="4" t="s">
        <v>129</v>
      </c>
      <c r="G31" s="2" t="s">
        <v>213</v>
      </c>
      <c r="H31" s="2"/>
      <c r="I31" s="45"/>
      <c r="J31" s="21">
        <v>0</v>
      </c>
      <c r="K31" s="19">
        <v>3463.8</v>
      </c>
      <c r="L31" s="21">
        <v>186.02577873254566</v>
      </c>
      <c r="M31" s="3"/>
      <c r="N31" s="77">
        <v>3984</v>
      </c>
      <c r="O31" s="4"/>
    </row>
    <row r="32" spans="2:15">
      <c r="B32" s="75" t="s">
        <v>92</v>
      </c>
      <c r="C32" s="4" t="s">
        <v>105</v>
      </c>
      <c r="D32" s="4"/>
      <c r="E32" s="4" t="s">
        <v>124</v>
      </c>
      <c r="F32" s="4" t="s">
        <v>131</v>
      </c>
      <c r="G32" s="2" t="s">
        <v>218</v>
      </c>
      <c r="H32" s="2"/>
      <c r="I32" s="45"/>
      <c r="J32" s="21">
        <v>0</v>
      </c>
      <c r="K32" s="3"/>
      <c r="L32" s="25"/>
      <c r="M32" s="16">
        <v>126.9</v>
      </c>
      <c r="N32" s="2"/>
      <c r="O32" s="4"/>
    </row>
    <row r="33" spans="2:15">
      <c r="B33" s="73" t="s">
        <v>56</v>
      </c>
      <c r="C33" s="4" t="s">
        <v>107</v>
      </c>
      <c r="D33" s="4"/>
      <c r="E33" s="4" t="s">
        <v>121</v>
      </c>
      <c r="F33" s="4" t="s">
        <v>129</v>
      </c>
      <c r="G33" s="2"/>
      <c r="H33" s="2"/>
      <c r="I33" s="45">
        <v>2249.5</v>
      </c>
      <c r="J33" s="21">
        <v>163.48110465116278</v>
      </c>
      <c r="K33" s="19">
        <v>3017.6</v>
      </c>
      <c r="L33" s="21">
        <v>162.06229860365198</v>
      </c>
      <c r="M33" s="3"/>
      <c r="N33" s="77">
        <v>3470</v>
      </c>
      <c r="O33" s="4"/>
    </row>
    <row r="34" spans="2:15">
      <c r="B34" s="73"/>
      <c r="C34" s="4" t="s">
        <v>119</v>
      </c>
      <c r="D34" s="4"/>
      <c r="E34" s="4" t="s">
        <v>121</v>
      </c>
      <c r="F34" s="4" t="s">
        <v>129</v>
      </c>
      <c r="G34" s="2"/>
      <c r="H34" s="2"/>
      <c r="I34" s="45">
        <v>2550.9</v>
      </c>
      <c r="J34" s="21">
        <v>185.38517441860466</v>
      </c>
      <c r="K34" s="19"/>
      <c r="L34" s="21"/>
      <c r="M34" s="3"/>
      <c r="N34" s="2"/>
      <c r="O34" s="4"/>
    </row>
    <row r="35" spans="2:15">
      <c r="B35" s="75" t="s">
        <v>93</v>
      </c>
      <c r="C35" s="4" t="s">
        <v>119</v>
      </c>
      <c r="D35" s="4"/>
      <c r="E35" s="4" t="s">
        <v>124</v>
      </c>
      <c r="F35" s="4" t="s">
        <v>131</v>
      </c>
      <c r="G35" s="2" t="s">
        <v>218</v>
      </c>
      <c r="H35" s="2"/>
      <c r="I35" s="45"/>
      <c r="J35" s="21">
        <v>0</v>
      </c>
      <c r="K35" s="3"/>
      <c r="L35" s="25"/>
      <c r="M35" s="16">
        <v>205.2</v>
      </c>
      <c r="N35" s="2"/>
      <c r="O35" s="4"/>
    </row>
    <row r="36" spans="2:15">
      <c r="B36" s="73" t="s">
        <v>58</v>
      </c>
      <c r="C36" s="4" t="s">
        <v>108</v>
      </c>
      <c r="D36" s="4"/>
      <c r="E36" s="4" t="s">
        <v>121</v>
      </c>
      <c r="F36" s="4" t="s">
        <v>129</v>
      </c>
      <c r="G36" s="2"/>
      <c r="H36" s="2"/>
      <c r="I36" s="45"/>
      <c r="J36" s="21">
        <v>0</v>
      </c>
      <c r="K36" s="19">
        <v>4756.3999999999996</v>
      </c>
      <c r="L36" s="21">
        <v>255.44575725026849</v>
      </c>
      <c r="M36" s="3"/>
      <c r="N36" s="77">
        <v>9686</v>
      </c>
      <c r="O36" s="4"/>
    </row>
    <row r="37" spans="2:15">
      <c r="B37" s="75" t="s">
        <v>82</v>
      </c>
      <c r="C37" s="4" t="s">
        <v>114</v>
      </c>
      <c r="D37" s="4"/>
      <c r="E37" s="4" t="s">
        <v>124</v>
      </c>
      <c r="F37" s="4" t="s">
        <v>129</v>
      </c>
      <c r="G37" s="2" t="s">
        <v>218</v>
      </c>
      <c r="H37" s="2"/>
      <c r="I37" s="45"/>
      <c r="J37" s="21">
        <v>0</v>
      </c>
      <c r="K37" s="3"/>
      <c r="L37" s="25"/>
      <c r="M37" s="16">
        <v>646.91999999999996</v>
      </c>
      <c r="N37" s="2"/>
      <c r="O37" s="4"/>
    </row>
    <row r="38" spans="2:15">
      <c r="B38" s="75"/>
      <c r="C38" s="4" t="s">
        <v>114</v>
      </c>
      <c r="D38" s="4"/>
      <c r="E38" s="4" t="s">
        <v>121</v>
      </c>
      <c r="F38" s="4" t="s">
        <v>129</v>
      </c>
      <c r="G38" s="2"/>
      <c r="H38" s="2"/>
      <c r="I38" s="45">
        <v>4246.1099999999997</v>
      </c>
      <c r="J38" s="21">
        <v>308.58357558139534</v>
      </c>
      <c r="K38" s="3"/>
      <c r="L38" s="25"/>
      <c r="M38" s="16"/>
      <c r="N38" s="2"/>
      <c r="O38" s="4"/>
    </row>
    <row r="39" spans="2:15">
      <c r="B39" s="75"/>
      <c r="C39" s="4" t="s">
        <v>109</v>
      </c>
      <c r="D39" s="4"/>
      <c r="E39" s="4" t="s">
        <v>121</v>
      </c>
      <c r="F39" s="4" t="s">
        <v>129</v>
      </c>
      <c r="G39" s="2"/>
      <c r="H39" s="2"/>
      <c r="I39" s="45">
        <v>6724.3</v>
      </c>
      <c r="J39" s="21">
        <v>488.68459302325584</v>
      </c>
      <c r="K39" s="3"/>
      <c r="L39" s="25"/>
      <c r="M39" s="16"/>
      <c r="N39" s="2"/>
      <c r="O39" s="4"/>
    </row>
    <row r="40" spans="2:15">
      <c r="B40" s="73" t="s">
        <v>60</v>
      </c>
      <c r="C40" s="4" t="s">
        <v>109</v>
      </c>
      <c r="D40" s="4"/>
      <c r="E40" s="4" t="s">
        <v>121</v>
      </c>
      <c r="F40" s="4" t="s">
        <v>129</v>
      </c>
      <c r="G40" s="2" t="s">
        <v>213</v>
      </c>
      <c r="H40" s="2"/>
      <c r="I40" s="45"/>
      <c r="J40" s="21">
        <v>0</v>
      </c>
      <c r="K40" s="19">
        <v>11996.8</v>
      </c>
      <c r="L40" s="21">
        <v>644.29645542427488</v>
      </c>
      <c r="M40" s="3"/>
      <c r="N40" s="77">
        <v>13797</v>
      </c>
      <c r="O40" s="4"/>
    </row>
    <row r="41" spans="2:15">
      <c r="B41" s="75" t="s">
        <v>91</v>
      </c>
      <c r="C41" s="4" t="s">
        <v>110</v>
      </c>
      <c r="D41" s="4"/>
      <c r="E41" s="4" t="s">
        <v>124</v>
      </c>
      <c r="F41" s="4" t="s">
        <v>129</v>
      </c>
      <c r="G41" s="2" t="s">
        <v>218</v>
      </c>
      <c r="H41" s="2"/>
      <c r="I41" s="45"/>
      <c r="J41" s="21">
        <v>0</v>
      </c>
      <c r="K41" s="3"/>
      <c r="L41" s="25"/>
      <c r="M41" s="16">
        <v>1760.94</v>
      </c>
      <c r="N41" s="2"/>
      <c r="O41" s="4"/>
    </row>
    <row r="42" spans="2:15">
      <c r="B42" s="75"/>
      <c r="C42" s="4" t="s">
        <v>110</v>
      </c>
      <c r="D42" s="4"/>
      <c r="E42" s="4" t="s">
        <v>121</v>
      </c>
      <c r="F42" s="4" t="s">
        <v>129</v>
      </c>
      <c r="G42" s="2"/>
      <c r="H42" s="2"/>
      <c r="I42" s="45">
        <v>13944.7</v>
      </c>
      <c r="J42" s="21">
        <v>1013.4229651162791</v>
      </c>
      <c r="K42" s="3"/>
      <c r="L42" s="25"/>
      <c r="M42" s="16"/>
      <c r="N42" s="2"/>
      <c r="O42" s="4"/>
    </row>
    <row r="43" spans="2:15">
      <c r="B43" s="76" t="s">
        <v>61</v>
      </c>
      <c r="C43" s="4" t="s">
        <v>105</v>
      </c>
      <c r="D43" s="4"/>
      <c r="E43" s="4" t="s">
        <v>123</v>
      </c>
      <c r="F43" s="4" t="s">
        <v>129</v>
      </c>
      <c r="G43" s="2" t="s">
        <v>219</v>
      </c>
      <c r="H43" s="2"/>
      <c r="I43" s="45"/>
      <c r="J43" s="21">
        <v>0</v>
      </c>
      <c r="K43" s="21">
        <v>163.30000000000001</v>
      </c>
      <c r="L43" s="21">
        <v>163.30000000000001</v>
      </c>
      <c r="M43" s="3"/>
      <c r="N43" s="2"/>
      <c r="O43" s="4"/>
    </row>
    <row r="44" spans="2:15">
      <c r="B44" s="75" t="s">
        <v>76</v>
      </c>
      <c r="C44" s="4" t="s">
        <v>105</v>
      </c>
      <c r="D44" s="4"/>
      <c r="E44" s="4" t="s">
        <v>123</v>
      </c>
      <c r="F44" s="4" t="s">
        <v>129</v>
      </c>
      <c r="G44" s="2" t="s">
        <v>220</v>
      </c>
      <c r="H44" s="2"/>
      <c r="I44" s="45">
        <v>1459.7</v>
      </c>
      <c r="J44" s="21">
        <v>106.08284883720931</v>
      </c>
      <c r="K44" s="19">
        <v>1569.75</v>
      </c>
      <c r="L44" s="21">
        <v>84.304511278195491</v>
      </c>
      <c r="M44" s="3"/>
      <c r="N44" s="2"/>
      <c r="O44" s="4"/>
    </row>
    <row r="45" spans="2:15">
      <c r="B45" s="75" t="s">
        <v>98</v>
      </c>
      <c r="C45" s="4" t="s">
        <v>105</v>
      </c>
      <c r="D45" s="4"/>
      <c r="E45" s="4" t="s">
        <v>123</v>
      </c>
      <c r="F45" s="4" t="s">
        <v>131</v>
      </c>
      <c r="G45" s="2" t="s">
        <v>219</v>
      </c>
      <c r="H45" s="2"/>
      <c r="I45" s="45"/>
      <c r="J45" s="21">
        <v>0</v>
      </c>
      <c r="K45" s="3"/>
      <c r="L45" s="25"/>
      <c r="M45" s="16">
        <v>145.80000000000001</v>
      </c>
      <c r="N45" s="2"/>
      <c r="O45" s="4"/>
    </row>
    <row r="46" spans="2:15">
      <c r="B46" s="76" t="s">
        <v>62</v>
      </c>
      <c r="C46" s="4" t="s">
        <v>107</v>
      </c>
      <c r="D46" s="4"/>
      <c r="E46" s="4" t="s">
        <v>123</v>
      </c>
      <c r="F46" s="4" t="s">
        <v>129</v>
      </c>
      <c r="G46" s="2" t="s">
        <v>219</v>
      </c>
      <c r="H46" s="2"/>
      <c r="I46" s="45"/>
      <c r="J46" s="21">
        <v>0</v>
      </c>
      <c r="K46" s="21">
        <v>185.15</v>
      </c>
      <c r="L46" s="21">
        <v>185.15</v>
      </c>
      <c r="M46" s="3"/>
      <c r="N46" s="2"/>
      <c r="O46" s="4"/>
    </row>
    <row r="47" spans="2:15">
      <c r="B47" s="75" t="s">
        <v>75</v>
      </c>
      <c r="C47" s="4" t="s">
        <v>107</v>
      </c>
      <c r="D47" s="4"/>
      <c r="E47" s="4" t="s">
        <v>123</v>
      </c>
      <c r="F47" s="4" t="s">
        <v>129</v>
      </c>
      <c r="G47" s="2" t="s">
        <v>220</v>
      </c>
      <c r="H47" s="2"/>
      <c r="I47" s="45"/>
      <c r="J47" s="21">
        <v>0</v>
      </c>
      <c r="K47" s="19">
        <v>1853.8</v>
      </c>
      <c r="L47" s="21">
        <v>99.559613319011802</v>
      </c>
      <c r="M47" s="3"/>
      <c r="N47" s="2"/>
      <c r="O47" s="4"/>
    </row>
    <row r="48" spans="2:15">
      <c r="B48" s="75"/>
      <c r="C48" s="4" t="s">
        <v>119</v>
      </c>
      <c r="D48" s="4"/>
      <c r="E48" s="4" t="s">
        <v>123</v>
      </c>
      <c r="F48" s="4" t="s">
        <v>129</v>
      </c>
      <c r="G48" s="2" t="s">
        <v>220</v>
      </c>
      <c r="H48" s="2"/>
      <c r="I48" s="45">
        <v>1844.7</v>
      </c>
      <c r="J48" s="21">
        <v>134.0625</v>
      </c>
      <c r="K48" s="19"/>
      <c r="L48" s="21"/>
      <c r="M48" s="3"/>
      <c r="N48" s="2"/>
      <c r="O48" s="4"/>
    </row>
    <row r="49" spans="2:15">
      <c r="B49" s="75" t="s">
        <v>132</v>
      </c>
      <c r="C49" s="4" t="s">
        <v>108</v>
      </c>
      <c r="D49" s="4"/>
      <c r="E49" s="4" t="s">
        <v>123</v>
      </c>
      <c r="F49" s="4" t="s">
        <v>129</v>
      </c>
      <c r="G49" s="2" t="s">
        <v>219</v>
      </c>
      <c r="H49" s="2"/>
      <c r="I49" s="45"/>
      <c r="J49" s="21">
        <v>0</v>
      </c>
      <c r="K49" s="21">
        <v>300.14999999999998</v>
      </c>
      <c r="L49" s="21">
        <v>300.14999999999998</v>
      </c>
      <c r="M49" s="3"/>
      <c r="N49" s="2"/>
      <c r="O49" s="4"/>
    </row>
    <row r="50" spans="2:15">
      <c r="B50" s="75" t="s">
        <v>74</v>
      </c>
      <c r="C50" s="4" t="s">
        <v>108</v>
      </c>
      <c r="D50" s="4"/>
      <c r="E50" s="4" t="s">
        <v>123</v>
      </c>
      <c r="F50" s="4" t="s">
        <v>129</v>
      </c>
      <c r="G50" s="2" t="s">
        <v>220</v>
      </c>
      <c r="H50" s="2"/>
      <c r="I50" s="45"/>
      <c r="J50" s="21">
        <v>0</v>
      </c>
      <c r="K50" s="19">
        <v>3064.75</v>
      </c>
      <c r="L50" s="21">
        <v>164.59452201933405</v>
      </c>
      <c r="M50" s="24"/>
      <c r="N50" s="2"/>
      <c r="O50" s="4"/>
    </row>
    <row r="51" spans="2:15">
      <c r="B51" s="75" t="s">
        <v>133</v>
      </c>
      <c r="C51" s="4" t="s">
        <v>114</v>
      </c>
      <c r="D51" s="4"/>
      <c r="E51" s="4" t="s">
        <v>123</v>
      </c>
      <c r="F51" s="4" t="s">
        <v>129</v>
      </c>
      <c r="G51" s="2" t="s">
        <v>219</v>
      </c>
      <c r="H51" s="2"/>
      <c r="I51" s="45"/>
      <c r="J51" s="21">
        <v>0</v>
      </c>
      <c r="K51" s="3"/>
      <c r="L51" s="25"/>
      <c r="M51" s="16">
        <v>438.6</v>
      </c>
      <c r="N51" s="2"/>
      <c r="O51" s="4"/>
    </row>
    <row r="52" spans="2:15">
      <c r="B52" s="75"/>
      <c r="C52" s="4" t="s">
        <v>114</v>
      </c>
      <c r="D52" s="4"/>
      <c r="E52" s="4" t="s">
        <v>123</v>
      </c>
      <c r="F52" s="4" t="s">
        <v>129</v>
      </c>
      <c r="G52" s="2" t="s">
        <v>220</v>
      </c>
      <c r="H52" s="2"/>
      <c r="I52" s="45">
        <v>3457.3</v>
      </c>
      <c r="J52" s="21">
        <v>251.25726744186048</v>
      </c>
      <c r="K52" s="3"/>
      <c r="L52" s="25"/>
      <c r="M52" s="16"/>
      <c r="N52" s="2"/>
      <c r="O52" s="4"/>
    </row>
    <row r="53" spans="2:15">
      <c r="B53" s="76" t="s">
        <v>63</v>
      </c>
      <c r="C53" s="4" t="s">
        <v>109</v>
      </c>
      <c r="D53" s="4"/>
      <c r="E53" s="4" t="s">
        <v>123</v>
      </c>
      <c r="F53" s="4" t="s">
        <v>129</v>
      </c>
      <c r="G53" s="2" t="s">
        <v>219</v>
      </c>
      <c r="H53" s="2"/>
      <c r="I53" s="45"/>
      <c r="J53" s="21">
        <v>0</v>
      </c>
      <c r="K53" s="15">
        <v>565.79999999999995</v>
      </c>
      <c r="L53" s="21">
        <v>565.79999999999995</v>
      </c>
      <c r="M53" s="15">
        <v>559.79999999999995</v>
      </c>
      <c r="N53" s="45"/>
      <c r="O53" s="47"/>
    </row>
    <row r="54" spans="2:15">
      <c r="B54" s="75" t="s">
        <v>73</v>
      </c>
      <c r="C54" s="4" t="s">
        <v>109</v>
      </c>
      <c r="D54" s="4"/>
      <c r="E54" s="4" t="s">
        <v>123</v>
      </c>
      <c r="F54" s="4" t="s">
        <v>129</v>
      </c>
      <c r="G54" s="2" t="s">
        <v>220</v>
      </c>
      <c r="H54" s="2"/>
      <c r="I54" s="45">
        <v>4153.6000000000004</v>
      </c>
      <c r="J54" s="21">
        <v>301.8604651162791</v>
      </c>
      <c r="K54" s="19">
        <v>5689.22</v>
      </c>
      <c r="L54" s="21">
        <v>305.54350161117077</v>
      </c>
      <c r="M54" s="3"/>
      <c r="N54" s="2"/>
      <c r="O54" s="4"/>
    </row>
    <row r="55" spans="2:15">
      <c r="B55" s="76" t="s">
        <v>65</v>
      </c>
      <c r="C55" s="4" t="s">
        <v>110</v>
      </c>
      <c r="D55" s="4"/>
      <c r="E55" s="4" t="s">
        <v>123</v>
      </c>
      <c r="F55" s="4" t="s">
        <v>129</v>
      </c>
      <c r="G55" s="2" t="s">
        <v>219</v>
      </c>
      <c r="H55" s="2"/>
      <c r="I55" s="45"/>
      <c r="J55" s="21">
        <v>0</v>
      </c>
      <c r="K55" s="15">
        <v>979.8</v>
      </c>
      <c r="L55" s="21">
        <v>979.8</v>
      </c>
      <c r="M55" s="15">
        <v>933.6</v>
      </c>
      <c r="N55" s="2"/>
      <c r="O55" s="4"/>
    </row>
    <row r="56" spans="2:15">
      <c r="B56" s="75" t="s">
        <v>72</v>
      </c>
      <c r="C56" s="4" t="s">
        <v>110</v>
      </c>
      <c r="D56" s="4"/>
      <c r="E56" s="4" t="s">
        <v>123</v>
      </c>
      <c r="F56" s="4" t="s">
        <v>129</v>
      </c>
      <c r="G56" s="2" t="s">
        <v>220</v>
      </c>
      <c r="H56" s="2"/>
      <c r="I56" s="45">
        <v>6810.65</v>
      </c>
      <c r="J56" s="21">
        <v>494.96002906976742</v>
      </c>
      <c r="K56" s="19">
        <v>9418.5</v>
      </c>
      <c r="L56" s="21">
        <v>505.82706766917289</v>
      </c>
      <c r="M56" s="3"/>
      <c r="N56" s="2"/>
      <c r="O56" s="4"/>
    </row>
    <row r="57" spans="2:15">
      <c r="B57" s="75" t="s">
        <v>134</v>
      </c>
      <c r="C57" s="4" t="s">
        <v>117</v>
      </c>
      <c r="D57" s="4"/>
      <c r="E57" s="4" t="s">
        <v>123</v>
      </c>
      <c r="F57" s="4" t="s">
        <v>129</v>
      </c>
      <c r="G57" s="2" t="s">
        <v>219</v>
      </c>
      <c r="H57" s="2"/>
      <c r="I57" s="45"/>
      <c r="J57" s="21">
        <v>0</v>
      </c>
      <c r="K57" s="3"/>
      <c r="L57" s="25"/>
      <c r="M57" s="16">
        <v>1267.2</v>
      </c>
      <c r="N57" s="2"/>
      <c r="O57" s="4"/>
    </row>
    <row r="58" spans="2:15">
      <c r="B58" s="75" t="s">
        <v>100</v>
      </c>
      <c r="C58" s="4" t="s">
        <v>115</v>
      </c>
      <c r="D58" s="4"/>
      <c r="E58" s="4" t="s">
        <v>123</v>
      </c>
      <c r="F58" s="4" t="s">
        <v>129</v>
      </c>
      <c r="G58" s="2" t="s">
        <v>219</v>
      </c>
      <c r="H58" s="2"/>
      <c r="I58" s="45"/>
      <c r="J58" s="21">
        <v>0</v>
      </c>
      <c r="K58" s="3"/>
      <c r="L58" s="25"/>
      <c r="M58" s="16">
        <v>1333.8</v>
      </c>
      <c r="N58" s="2"/>
      <c r="O58" s="4"/>
    </row>
    <row r="59" spans="2:15">
      <c r="B59" s="75" t="s">
        <v>135</v>
      </c>
      <c r="C59" s="4" t="s">
        <v>116</v>
      </c>
      <c r="D59" s="4"/>
      <c r="E59" s="4" t="s">
        <v>123</v>
      </c>
      <c r="F59" s="4" t="s">
        <v>129</v>
      </c>
      <c r="G59" s="2" t="s">
        <v>219</v>
      </c>
      <c r="H59" s="2"/>
      <c r="I59" s="45"/>
      <c r="J59" s="21">
        <v>0</v>
      </c>
      <c r="K59" s="3"/>
      <c r="L59" s="25"/>
      <c r="M59" s="16">
        <v>1568.4</v>
      </c>
      <c r="N59" s="2"/>
      <c r="O59" s="4"/>
    </row>
    <row r="60" spans="2:15">
      <c r="B60" s="75"/>
      <c r="C60" s="4" t="s">
        <v>116</v>
      </c>
      <c r="D60" s="4"/>
      <c r="E60" s="4" t="s">
        <v>123</v>
      </c>
      <c r="F60" s="4" t="s">
        <v>129</v>
      </c>
      <c r="G60" s="2" t="s">
        <v>220</v>
      </c>
      <c r="H60" s="2"/>
      <c r="I60" s="45"/>
      <c r="J60" s="21"/>
      <c r="K60" s="3"/>
      <c r="L60" s="25"/>
      <c r="M60" s="16"/>
      <c r="N60" s="2"/>
      <c r="O60" s="41">
        <v>1055</v>
      </c>
    </row>
    <row r="61" spans="2:15">
      <c r="B61" s="75" t="s">
        <v>99</v>
      </c>
      <c r="C61" s="4" t="s">
        <v>120</v>
      </c>
      <c r="D61" s="4"/>
      <c r="E61" s="4" t="s">
        <v>123</v>
      </c>
      <c r="F61" s="4" t="s">
        <v>129</v>
      </c>
      <c r="G61" s="2" t="s">
        <v>219</v>
      </c>
      <c r="H61" s="2"/>
      <c r="I61" s="45"/>
      <c r="J61" s="21">
        <v>0</v>
      </c>
      <c r="K61" s="3"/>
      <c r="L61" s="25"/>
      <c r="M61" s="16">
        <v>1739.4</v>
      </c>
      <c r="N61" s="2"/>
      <c r="O61" s="4"/>
    </row>
    <row r="62" spans="2:15">
      <c r="B62" s="75"/>
      <c r="C62" s="4" t="s">
        <v>120</v>
      </c>
      <c r="D62" s="4"/>
      <c r="E62" s="4" t="s">
        <v>123</v>
      </c>
      <c r="F62" s="4" t="s">
        <v>129</v>
      </c>
      <c r="G62" s="2" t="s">
        <v>220</v>
      </c>
      <c r="H62" s="2"/>
      <c r="I62" s="45">
        <v>18198.400000000001</v>
      </c>
      <c r="J62" s="21">
        <v>1322.5581395348838</v>
      </c>
      <c r="K62" s="3"/>
      <c r="L62" s="25"/>
      <c r="M62" s="16"/>
      <c r="N62" s="2"/>
      <c r="O62" s="4"/>
    </row>
    <row r="63" spans="2:15">
      <c r="B63" s="75" t="s">
        <v>136</v>
      </c>
      <c r="C63" s="4" t="s">
        <v>118</v>
      </c>
      <c r="D63" s="4"/>
      <c r="E63" s="4" t="s">
        <v>123</v>
      </c>
      <c r="F63" s="4" t="s">
        <v>131</v>
      </c>
      <c r="G63" s="2" t="s">
        <v>219</v>
      </c>
      <c r="H63" s="2"/>
      <c r="I63" s="45"/>
      <c r="J63" s="2"/>
      <c r="K63" s="3"/>
      <c r="L63" s="25"/>
      <c r="M63" s="16">
        <v>3538.8</v>
      </c>
      <c r="N63" s="2"/>
      <c r="O63" s="4"/>
    </row>
    <row r="64" spans="2:15">
      <c r="B64" s="75"/>
      <c r="C64" s="4"/>
      <c r="D64" s="4"/>
      <c r="E64" s="4"/>
      <c r="F64" s="4"/>
      <c r="G64" s="2"/>
      <c r="H64" s="2"/>
      <c r="I64" s="45"/>
      <c r="J64" s="2"/>
      <c r="K64" s="3"/>
      <c r="L64" s="25"/>
      <c r="M64" s="16"/>
      <c r="N64" s="2"/>
      <c r="O64" s="4"/>
    </row>
    <row r="65" spans="2:15">
      <c r="B65" s="76" t="s">
        <v>69</v>
      </c>
      <c r="C65" s="4" t="s">
        <v>112</v>
      </c>
      <c r="D65" s="4"/>
      <c r="E65" s="4" t="s">
        <v>125</v>
      </c>
      <c r="F65" s="4" t="s">
        <v>131</v>
      </c>
      <c r="G65" s="2" t="s">
        <v>221</v>
      </c>
      <c r="H65" s="2"/>
      <c r="I65" s="45"/>
      <c r="J65" s="2"/>
      <c r="K65" s="19">
        <v>917.7</v>
      </c>
      <c r="L65" s="21">
        <v>49.285714285714285</v>
      </c>
      <c r="M65" s="16"/>
      <c r="N65" s="2"/>
      <c r="O65" s="4"/>
    </row>
    <row r="66" spans="2:15">
      <c r="B66" s="76" t="s">
        <v>70</v>
      </c>
      <c r="C66" s="4" t="s">
        <v>113</v>
      </c>
      <c r="D66" s="4"/>
      <c r="E66" s="4" t="s">
        <v>125</v>
      </c>
      <c r="F66" s="4" t="s">
        <v>131</v>
      </c>
      <c r="G66" s="2" t="s">
        <v>221</v>
      </c>
      <c r="H66" s="2"/>
      <c r="I66" s="45"/>
      <c r="J66" s="2"/>
      <c r="K66" s="19">
        <v>1118.95</v>
      </c>
      <c r="L66" s="21">
        <v>60.093984962406012</v>
      </c>
      <c r="M66" s="3"/>
      <c r="N66" s="2"/>
      <c r="O66" s="4"/>
    </row>
    <row r="67" spans="2:15">
      <c r="B67" s="76"/>
      <c r="C67" s="4"/>
      <c r="D67" s="4"/>
      <c r="E67" s="4"/>
      <c r="F67" s="4"/>
      <c r="G67" s="2"/>
      <c r="H67" s="2"/>
      <c r="I67" s="45"/>
      <c r="J67" s="2"/>
      <c r="K67" s="19"/>
      <c r="L67" s="21"/>
      <c r="M67" s="3"/>
      <c r="N67" s="2"/>
      <c r="O67" s="4"/>
    </row>
    <row r="68" spans="2:15">
      <c r="B68" s="75" t="s">
        <v>94</v>
      </c>
      <c r="C68" s="4" t="s">
        <v>109</v>
      </c>
      <c r="D68" s="4"/>
      <c r="E68" s="4" t="s">
        <v>127</v>
      </c>
      <c r="F68" s="4"/>
      <c r="G68" s="2" t="s">
        <v>222</v>
      </c>
      <c r="H68" s="2"/>
      <c r="I68" s="45"/>
      <c r="J68" s="2"/>
      <c r="K68" s="3"/>
      <c r="L68" s="25"/>
      <c r="M68" s="16">
        <v>248.94</v>
      </c>
      <c r="N68" s="2"/>
      <c r="O68" s="4"/>
    </row>
    <row r="69" spans="2:15">
      <c r="B69" s="75"/>
      <c r="C69" s="4"/>
      <c r="D69" s="4"/>
      <c r="E69" s="4"/>
      <c r="F69" s="4"/>
      <c r="G69" s="2"/>
      <c r="H69" s="2"/>
      <c r="I69" s="45"/>
      <c r="J69" s="2"/>
      <c r="K69" s="3"/>
      <c r="L69" s="25"/>
      <c r="M69" s="16"/>
      <c r="N69" s="2"/>
      <c r="O69" s="4"/>
    </row>
    <row r="70" spans="2:15">
      <c r="B70" s="75" t="s">
        <v>97</v>
      </c>
      <c r="C70" s="4" t="s">
        <v>104</v>
      </c>
      <c r="D70" s="4"/>
      <c r="E70" s="4" t="s">
        <v>128</v>
      </c>
      <c r="F70" s="4" t="s">
        <v>131</v>
      </c>
      <c r="G70" s="2"/>
      <c r="H70" s="2"/>
      <c r="I70" s="45"/>
      <c r="J70" s="2"/>
      <c r="K70" s="3"/>
      <c r="L70" s="25"/>
      <c r="M70" s="16">
        <v>109.62</v>
      </c>
      <c r="N70" s="2"/>
      <c r="O70" s="4"/>
    </row>
    <row r="71" spans="2:15">
      <c r="B71" s="76"/>
      <c r="C71" s="4"/>
      <c r="D71" s="4"/>
      <c r="E71" s="4"/>
      <c r="F71" s="4"/>
      <c r="G71" s="2"/>
      <c r="H71" s="2"/>
      <c r="I71" s="45"/>
      <c r="J71" s="2"/>
      <c r="K71" s="19"/>
      <c r="L71" s="21"/>
      <c r="M71" s="3"/>
      <c r="N71" s="2"/>
      <c r="O71" s="4"/>
    </row>
    <row r="72" spans="2:15">
      <c r="B72" s="75" t="s">
        <v>87</v>
      </c>
      <c r="C72" s="4"/>
      <c r="D72" s="4"/>
      <c r="E72" s="4"/>
      <c r="F72" s="4"/>
      <c r="G72" s="2"/>
      <c r="H72" s="2"/>
      <c r="I72" s="45"/>
      <c r="J72" s="2"/>
      <c r="K72" s="17">
        <v>900</v>
      </c>
      <c r="L72" s="22">
        <v>900</v>
      </c>
      <c r="M72" s="3"/>
      <c r="N72" s="2"/>
      <c r="O72" s="4"/>
    </row>
    <row r="73" spans="2:15">
      <c r="B73" s="76" t="s">
        <v>66</v>
      </c>
      <c r="C73" s="4"/>
      <c r="D73" s="4"/>
      <c r="E73" s="4"/>
      <c r="F73" s="4"/>
      <c r="G73" s="2"/>
      <c r="H73" s="2"/>
      <c r="I73" s="45"/>
      <c r="J73" s="2"/>
      <c r="K73" s="18">
        <v>1270</v>
      </c>
      <c r="L73" s="22">
        <v>1270</v>
      </c>
      <c r="M73" s="3"/>
      <c r="N73" s="2"/>
      <c r="O73" s="4"/>
    </row>
    <row r="74" spans="2:15">
      <c r="B74" s="75" t="s">
        <v>88</v>
      </c>
      <c r="C74" s="4"/>
      <c r="D74" s="4"/>
      <c r="E74" s="4"/>
      <c r="F74" s="4"/>
      <c r="G74" s="2"/>
      <c r="H74" s="2"/>
      <c r="I74" s="45"/>
      <c r="J74" s="2"/>
      <c r="K74" s="17">
        <v>900</v>
      </c>
      <c r="L74" s="22">
        <v>900</v>
      </c>
      <c r="M74" s="3"/>
      <c r="N74" s="2"/>
      <c r="O74" s="4"/>
    </row>
    <row r="75" spans="2:15">
      <c r="B75" s="75" t="s">
        <v>87</v>
      </c>
      <c r="C75" s="4"/>
      <c r="D75" s="4"/>
      <c r="E75" s="4"/>
      <c r="F75" s="4"/>
      <c r="G75" s="2"/>
      <c r="H75" s="2"/>
      <c r="I75" s="45"/>
      <c r="J75" s="2"/>
      <c r="K75" s="17">
        <v>1512</v>
      </c>
      <c r="L75" s="22">
        <v>1512</v>
      </c>
      <c r="M75" s="3"/>
      <c r="N75" s="2"/>
      <c r="O75" s="4"/>
    </row>
    <row r="76" spans="2:15">
      <c r="B76" s="76" t="s">
        <v>66</v>
      </c>
      <c r="C76" s="4"/>
      <c r="D76" s="4"/>
      <c r="E76" s="4"/>
      <c r="F76" s="4"/>
      <c r="G76" s="2"/>
      <c r="H76" s="2"/>
      <c r="I76" s="45"/>
      <c r="J76" s="2"/>
      <c r="K76" s="17">
        <v>1716</v>
      </c>
      <c r="L76" s="22">
        <v>1716</v>
      </c>
      <c r="M76" s="3"/>
      <c r="N76" s="2"/>
      <c r="O76" s="4"/>
    </row>
    <row r="77" spans="2:15">
      <c r="B77" s="75" t="s">
        <v>88</v>
      </c>
      <c r="C77" s="4"/>
      <c r="D77" s="4"/>
      <c r="E77" s="4"/>
      <c r="F77" s="4"/>
      <c r="G77" s="2"/>
      <c r="H77" s="2"/>
      <c r="I77" s="45"/>
      <c r="J77" s="2"/>
      <c r="K77" s="17">
        <v>1226</v>
      </c>
      <c r="L77" s="22">
        <v>1226</v>
      </c>
      <c r="M77" s="3"/>
      <c r="N77" s="2"/>
      <c r="O77" s="4"/>
    </row>
  </sheetData>
  <mergeCells count="4">
    <mergeCell ref="K1:L1"/>
    <mergeCell ref="K2:L2"/>
    <mergeCell ref="I1:J1"/>
    <mergeCell ref="I2:J2"/>
  </mergeCells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7F3DF-F814-40FB-9A57-C860B3AC19AA}">
  <dimension ref="A1:G3"/>
  <sheetViews>
    <sheetView workbookViewId="0">
      <selection activeCell="G8" sqref="G8"/>
    </sheetView>
  </sheetViews>
  <sheetFormatPr defaultRowHeight="14.4"/>
  <cols>
    <col min="1" max="1" width="11" customWidth="1"/>
    <col min="2" max="2" width="14" customWidth="1"/>
    <col min="3" max="3" width="16.6640625" bestFit="1" customWidth="1"/>
    <col min="4" max="4" width="15.44140625" customWidth="1"/>
    <col min="5" max="5" width="16.77734375" customWidth="1"/>
    <col min="6" max="6" width="16.33203125" customWidth="1"/>
    <col min="7" max="7" width="19.21875" customWidth="1"/>
  </cols>
  <sheetData>
    <row r="1" spans="1:7">
      <c r="A1" s="5" t="s">
        <v>411</v>
      </c>
      <c r="B1" s="5" t="s">
        <v>418</v>
      </c>
      <c r="C1" s="5" t="s">
        <v>266</v>
      </c>
      <c r="D1" s="5" t="s">
        <v>389</v>
      </c>
      <c r="E1" s="10" t="s">
        <v>241</v>
      </c>
      <c r="F1" s="5" t="s">
        <v>26</v>
      </c>
      <c r="G1" s="5" t="s">
        <v>413</v>
      </c>
    </row>
    <row r="2" spans="1:7">
      <c r="A2" s="2"/>
      <c r="B2" s="2"/>
      <c r="C2" s="3"/>
      <c r="D2" s="3"/>
      <c r="E2" s="11"/>
      <c r="F2" s="4"/>
      <c r="G2" s="2"/>
    </row>
    <row r="3" spans="1:7">
      <c r="A3" s="2"/>
      <c r="B3" s="2"/>
      <c r="C3" s="3"/>
      <c r="D3" s="3"/>
      <c r="E3" s="11"/>
      <c r="F3" s="4"/>
      <c r="G3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839C0-A058-43DE-8DFA-7DBE2F0E0D7F}">
  <sheetPr>
    <tabColor rgb="FFFF0066"/>
  </sheetPr>
  <dimension ref="A2:H6"/>
  <sheetViews>
    <sheetView zoomScaleNormal="100" workbookViewId="0">
      <selection activeCell="E10" sqref="E10"/>
    </sheetView>
  </sheetViews>
  <sheetFormatPr defaultRowHeight="14.4"/>
  <cols>
    <col min="1" max="2" width="12.88671875" style="9" customWidth="1"/>
    <col min="3" max="3" width="36.109375" style="9" bestFit="1" customWidth="1"/>
    <col min="4" max="4" width="16.88671875" style="9" customWidth="1"/>
    <col min="5" max="5" width="27.5546875" style="9" customWidth="1"/>
    <col min="6" max="6" width="16.21875" style="9" customWidth="1"/>
    <col min="7" max="7" width="14" style="9" bestFit="1" customWidth="1"/>
    <col min="8" max="8" width="14" style="9" customWidth="1"/>
  </cols>
  <sheetData>
    <row r="2" spans="1:8">
      <c r="A2" s="5" t="s">
        <v>411</v>
      </c>
      <c r="B2" s="5" t="s">
        <v>418</v>
      </c>
      <c r="C2" s="5" t="s">
        <v>11</v>
      </c>
      <c r="D2" s="5" t="s">
        <v>389</v>
      </c>
      <c r="E2" s="5" t="s">
        <v>194</v>
      </c>
      <c r="F2" s="5" t="s">
        <v>410</v>
      </c>
      <c r="G2" s="5" t="s">
        <v>26</v>
      </c>
      <c r="H2" s="5" t="s">
        <v>413</v>
      </c>
    </row>
    <row r="3" spans="1:8">
      <c r="A3" s="30">
        <v>44921</v>
      </c>
      <c r="B3" s="30" t="s">
        <v>466</v>
      </c>
      <c r="C3" s="4" t="s">
        <v>245</v>
      </c>
      <c r="D3" s="4" t="s">
        <v>244</v>
      </c>
      <c r="E3" s="4"/>
      <c r="F3" s="61" t="s">
        <v>465</v>
      </c>
      <c r="G3" s="4" t="s">
        <v>464</v>
      </c>
      <c r="H3" s="84">
        <v>5.08</v>
      </c>
    </row>
    <row r="4" spans="1:8">
      <c r="A4" s="30">
        <v>44921</v>
      </c>
      <c r="B4" s="30" t="s">
        <v>467</v>
      </c>
      <c r="C4" s="83" t="s">
        <v>246</v>
      </c>
      <c r="D4" s="4" t="s">
        <v>244</v>
      </c>
      <c r="E4" s="61" t="s">
        <v>247</v>
      </c>
      <c r="F4" s="4"/>
      <c r="G4" s="4" t="s">
        <v>41</v>
      </c>
      <c r="H4" s="84">
        <v>2.4300000000000002</v>
      </c>
    </row>
    <row r="5" spans="1:8">
      <c r="A5" s="30">
        <v>44921</v>
      </c>
      <c r="B5" s="30" t="s">
        <v>468</v>
      </c>
      <c r="C5" s="4" t="s">
        <v>249</v>
      </c>
      <c r="D5" s="4" t="s">
        <v>244</v>
      </c>
      <c r="E5" s="61" t="s">
        <v>248</v>
      </c>
      <c r="F5" s="4"/>
      <c r="G5" s="4" t="s">
        <v>41</v>
      </c>
      <c r="H5" s="84">
        <v>3.21</v>
      </c>
    </row>
    <row r="6" spans="1:8">
      <c r="A6" s="30">
        <v>44921</v>
      </c>
      <c r="B6" s="30" t="s">
        <v>468</v>
      </c>
      <c r="C6" s="4" t="s">
        <v>249</v>
      </c>
      <c r="D6" s="4" t="s">
        <v>250</v>
      </c>
      <c r="E6" s="61" t="s">
        <v>248</v>
      </c>
      <c r="F6" s="4"/>
      <c r="G6" s="4" t="s">
        <v>41</v>
      </c>
      <c r="H6" s="84">
        <v>3.16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E69A8-DC31-4393-8560-83850659C7B0}">
  <dimension ref="A1:G3"/>
  <sheetViews>
    <sheetView workbookViewId="0">
      <selection activeCell="E11" sqref="E11"/>
    </sheetView>
  </sheetViews>
  <sheetFormatPr defaultRowHeight="14.4"/>
  <cols>
    <col min="1" max="1" width="15" customWidth="1"/>
    <col min="2" max="2" width="16" customWidth="1"/>
    <col min="3" max="3" width="17.88671875" customWidth="1"/>
    <col min="4" max="4" width="17.77734375" customWidth="1"/>
    <col min="5" max="5" width="20.109375" customWidth="1"/>
    <col min="6" max="6" width="21.109375" customWidth="1"/>
    <col min="7" max="7" width="18" customWidth="1"/>
  </cols>
  <sheetData>
    <row r="1" spans="1:7">
      <c r="A1" s="5" t="s">
        <v>411</v>
      </c>
      <c r="B1" s="5" t="s">
        <v>418</v>
      </c>
      <c r="C1" s="5" t="s">
        <v>102</v>
      </c>
      <c r="D1" s="5" t="s">
        <v>389</v>
      </c>
      <c r="E1" s="5" t="s">
        <v>26</v>
      </c>
      <c r="F1" s="5" t="s">
        <v>194</v>
      </c>
      <c r="G1" s="5" t="s">
        <v>413</v>
      </c>
    </row>
    <row r="2" spans="1:7">
      <c r="A2" s="1"/>
      <c r="B2" s="1"/>
      <c r="C2" s="1"/>
      <c r="D2" s="1"/>
      <c r="E2" s="4"/>
      <c r="F2" s="4"/>
      <c r="G2" s="2"/>
    </row>
    <row r="3" spans="1:7">
      <c r="A3" s="1"/>
      <c r="B3" s="1"/>
      <c r="C3" s="1"/>
      <c r="D3" s="1"/>
      <c r="E3" s="11"/>
      <c r="F3" s="11"/>
      <c r="G3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C5B3E-E94A-4752-AD42-49FCAC2BF075}">
  <dimension ref="A1:G2"/>
  <sheetViews>
    <sheetView workbookViewId="0">
      <selection activeCell="F6" sqref="F6"/>
    </sheetView>
  </sheetViews>
  <sheetFormatPr defaultRowHeight="14.4"/>
  <cols>
    <col min="1" max="1" width="13.6640625" customWidth="1"/>
    <col min="2" max="2" width="16" customWidth="1"/>
    <col min="3" max="3" width="20.6640625" customWidth="1"/>
    <col min="4" max="4" width="19.5546875" customWidth="1"/>
    <col min="5" max="5" width="21.109375" customWidth="1"/>
    <col min="6" max="6" width="17.77734375" customWidth="1"/>
    <col min="7" max="7" width="19.109375" customWidth="1"/>
    <col min="8" max="8" width="18" customWidth="1"/>
  </cols>
  <sheetData>
    <row r="1" spans="1:7">
      <c r="A1" s="5" t="s">
        <v>411</v>
      </c>
      <c r="B1" s="5" t="s">
        <v>418</v>
      </c>
      <c r="C1" s="5" t="s">
        <v>11</v>
      </c>
      <c r="D1" s="5" t="s">
        <v>389</v>
      </c>
      <c r="E1" s="10" t="s">
        <v>241</v>
      </c>
      <c r="F1" s="5" t="s">
        <v>26</v>
      </c>
      <c r="G1" s="5" t="s">
        <v>413</v>
      </c>
    </row>
    <row r="2" spans="1:7">
      <c r="A2" s="1"/>
      <c r="B2" s="1"/>
      <c r="C2" s="3"/>
      <c r="D2" s="3"/>
      <c r="E2" s="11"/>
      <c r="F2" s="4"/>
      <c r="G2" s="2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16008-F0F6-4ACF-ACB5-A61EC34249C8}">
  <dimension ref="A1:H2"/>
  <sheetViews>
    <sheetView workbookViewId="0">
      <selection activeCell="F8" sqref="F8"/>
    </sheetView>
  </sheetViews>
  <sheetFormatPr defaultRowHeight="14.4"/>
  <cols>
    <col min="1" max="1" width="12.44140625" customWidth="1"/>
    <col min="2" max="2" width="14" customWidth="1"/>
    <col min="3" max="3" width="28.21875" customWidth="1"/>
    <col min="4" max="4" width="20.5546875" customWidth="1"/>
    <col min="5" max="5" width="24.44140625" customWidth="1"/>
    <col min="6" max="6" width="14.88671875" customWidth="1"/>
    <col min="7" max="7" width="13.88671875" customWidth="1"/>
    <col min="8" max="8" width="14.5546875" customWidth="1"/>
  </cols>
  <sheetData>
    <row r="1" spans="1:8" ht="21" customHeight="1">
      <c r="A1" s="5" t="s">
        <v>411</v>
      </c>
      <c r="B1" s="5" t="s">
        <v>418</v>
      </c>
      <c r="C1" s="5" t="s">
        <v>11</v>
      </c>
      <c r="D1" s="5" t="s">
        <v>389</v>
      </c>
      <c r="E1" s="5" t="s">
        <v>241</v>
      </c>
      <c r="F1" s="5" t="s">
        <v>26</v>
      </c>
      <c r="G1" s="5" t="s">
        <v>194</v>
      </c>
      <c r="H1" s="5" t="s">
        <v>413</v>
      </c>
    </row>
    <row r="2" spans="1:8" ht="21" customHeight="1">
      <c r="A2" s="1"/>
      <c r="B2" s="1"/>
      <c r="C2" s="3"/>
      <c r="D2" s="3"/>
      <c r="E2" s="3"/>
      <c r="F2" s="11"/>
      <c r="G2" s="4"/>
      <c r="H2" s="2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1DC67-65C5-4AA6-B54E-5806BE534633}">
  <dimension ref="A1:H22"/>
  <sheetViews>
    <sheetView zoomScale="70" zoomScaleNormal="70" workbookViewId="0">
      <selection activeCell="K6" sqref="K6"/>
    </sheetView>
  </sheetViews>
  <sheetFormatPr defaultRowHeight="21.6" customHeight="1"/>
  <cols>
    <col min="1" max="1" width="15.77734375" style="9" customWidth="1"/>
    <col min="2" max="2" width="17" style="9" customWidth="1"/>
    <col min="3" max="3" width="52.33203125" style="9" bestFit="1" customWidth="1"/>
    <col min="4" max="4" width="19" style="9" customWidth="1"/>
    <col min="5" max="5" width="21.33203125" style="9" customWidth="1"/>
    <col min="6" max="6" width="19.109375" style="9" customWidth="1"/>
    <col min="7" max="7" width="19.5546875" style="9" customWidth="1"/>
    <col min="8" max="8" width="19.6640625" style="9" customWidth="1"/>
  </cols>
  <sheetData>
    <row r="1" spans="1:8" ht="21.6" customHeight="1">
      <c r="A1" s="80" t="s">
        <v>411</v>
      </c>
      <c r="B1" s="80" t="s">
        <v>418</v>
      </c>
      <c r="C1" s="85" t="s">
        <v>266</v>
      </c>
      <c r="D1" s="85" t="s">
        <v>389</v>
      </c>
      <c r="E1" s="85" t="s">
        <v>306</v>
      </c>
      <c r="F1" s="85" t="s">
        <v>305</v>
      </c>
      <c r="G1" s="85" t="s">
        <v>194</v>
      </c>
      <c r="H1" s="85" t="s">
        <v>413</v>
      </c>
    </row>
    <row r="2" spans="1:8" s="50" customFormat="1" ht="21.6" customHeight="1">
      <c r="A2" s="87">
        <v>45426</v>
      </c>
      <c r="B2" s="86" t="s">
        <v>469</v>
      </c>
      <c r="C2" s="48" t="s">
        <v>304</v>
      </c>
      <c r="D2" s="86" t="s">
        <v>331</v>
      </c>
      <c r="E2" s="49">
        <v>485</v>
      </c>
      <c r="F2" s="49">
        <v>700</v>
      </c>
      <c r="G2" s="49" t="s">
        <v>307</v>
      </c>
      <c r="H2" s="88">
        <v>8263.49</v>
      </c>
    </row>
    <row r="3" spans="1:8" s="50" customFormat="1" ht="21.6" customHeight="1">
      <c r="A3" s="87">
        <v>45426</v>
      </c>
      <c r="B3" s="86" t="s">
        <v>469</v>
      </c>
      <c r="C3" s="48" t="s">
        <v>304</v>
      </c>
      <c r="D3" s="86" t="s">
        <v>332</v>
      </c>
      <c r="E3" s="49">
        <v>485</v>
      </c>
      <c r="F3" s="49">
        <v>700</v>
      </c>
      <c r="G3" s="49" t="s">
        <v>307</v>
      </c>
      <c r="H3" s="88">
        <v>6120</v>
      </c>
    </row>
    <row r="4" spans="1:8" s="50" customFormat="1" ht="21.6" customHeight="1">
      <c r="A4" s="87">
        <v>45426</v>
      </c>
      <c r="B4" s="86" t="s">
        <v>469</v>
      </c>
      <c r="C4" s="48" t="s">
        <v>304</v>
      </c>
      <c r="D4" s="86" t="s">
        <v>333</v>
      </c>
      <c r="E4" s="49">
        <v>485</v>
      </c>
      <c r="F4" s="49">
        <v>700</v>
      </c>
      <c r="G4" s="49" t="s">
        <v>307</v>
      </c>
      <c r="H4" s="88">
        <v>7321.7000000000007</v>
      </c>
    </row>
    <row r="5" spans="1:8" s="50" customFormat="1" ht="21.6" customHeight="1">
      <c r="A5" s="87">
        <v>45426</v>
      </c>
      <c r="B5" s="86" t="s">
        <v>469</v>
      </c>
      <c r="C5" s="48" t="s">
        <v>304</v>
      </c>
      <c r="D5" s="86" t="s">
        <v>334</v>
      </c>
      <c r="E5" s="49">
        <v>485</v>
      </c>
      <c r="F5" s="49">
        <v>700</v>
      </c>
      <c r="G5" s="49" t="s">
        <v>307</v>
      </c>
      <c r="H5" s="88">
        <v>6905</v>
      </c>
    </row>
    <row r="6" spans="1:8" s="50" customFormat="1" ht="21.6" customHeight="1">
      <c r="A6" s="87">
        <v>45426</v>
      </c>
      <c r="B6" s="86" t="s">
        <v>469</v>
      </c>
      <c r="C6" s="48" t="s">
        <v>304</v>
      </c>
      <c r="D6" s="86" t="s">
        <v>470</v>
      </c>
      <c r="E6" s="49">
        <v>485</v>
      </c>
      <c r="F6" s="49">
        <v>700</v>
      </c>
      <c r="G6" s="49" t="s">
        <v>307</v>
      </c>
      <c r="H6" s="89">
        <v>3690</v>
      </c>
    </row>
    <row r="7" spans="1:8" s="50" customFormat="1" ht="21.6" customHeight="1">
      <c r="A7" s="87">
        <v>45426</v>
      </c>
      <c r="B7" s="86" t="s">
        <v>469</v>
      </c>
      <c r="C7" s="48" t="s">
        <v>304</v>
      </c>
      <c r="D7" s="86" t="s">
        <v>361</v>
      </c>
      <c r="E7" s="49">
        <v>485</v>
      </c>
      <c r="F7" s="49">
        <v>700</v>
      </c>
      <c r="G7" s="49" t="s">
        <v>307</v>
      </c>
      <c r="H7" s="88">
        <v>6158.6</v>
      </c>
    </row>
    <row r="8" spans="1:8" ht="21.6" customHeight="1">
      <c r="A8" s="30">
        <v>44886</v>
      </c>
      <c r="B8" s="86" t="s">
        <v>469</v>
      </c>
      <c r="C8" s="48" t="s">
        <v>261</v>
      </c>
      <c r="D8" s="4" t="s">
        <v>230</v>
      </c>
      <c r="E8" s="4">
        <v>5600</v>
      </c>
      <c r="F8" s="4">
        <v>600</v>
      </c>
      <c r="G8" s="4" t="s">
        <v>308</v>
      </c>
      <c r="H8" s="89">
        <v>63574.93</v>
      </c>
    </row>
    <row r="9" spans="1:8" ht="21.6" customHeight="1">
      <c r="A9" s="30">
        <v>44887</v>
      </c>
      <c r="B9" s="86" t="s">
        <v>469</v>
      </c>
      <c r="C9" s="48" t="s">
        <v>261</v>
      </c>
      <c r="D9" s="4" t="s">
        <v>230</v>
      </c>
      <c r="E9" s="4">
        <v>5600</v>
      </c>
      <c r="F9" s="4">
        <v>600</v>
      </c>
      <c r="G9" s="4" t="s">
        <v>308</v>
      </c>
      <c r="H9" s="89">
        <v>49343</v>
      </c>
    </row>
    <row r="10" spans="1:8" ht="21.6" customHeight="1">
      <c r="A10" s="30">
        <v>44887</v>
      </c>
      <c r="B10" s="86" t="s">
        <v>469</v>
      </c>
      <c r="C10" s="48" t="s">
        <v>261</v>
      </c>
      <c r="D10" s="4" t="s">
        <v>291</v>
      </c>
      <c r="E10" s="4">
        <v>5600</v>
      </c>
      <c r="F10" s="4">
        <v>600</v>
      </c>
      <c r="G10" s="4" t="s">
        <v>308</v>
      </c>
      <c r="H10" s="88">
        <v>81600</v>
      </c>
    </row>
    <row r="11" spans="1:8" ht="21.6" customHeight="1">
      <c r="A11" s="30">
        <v>45635</v>
      </c>
      <c r="B11" s="86" t="s">
        <v>469</v>
      </c>
      <c r="C11" s="48" t="s">
        <v>304</v>
      </c>
      <c r="D11" s="4" t="s">
        <v>361</v>
      </c>
      <c r="E11" s="61">
        <v>3300</v>
      </c>
      <c r="F11" s="61">
        <v>650</v>
      </c>
      <c r="G11" s="49" t="s">
        <v>307</v>
      </c>
      <c r="H11" s="41">
        <v>22780</v>
      </c>
    </row>
    <row r="12" spans="1:8" ht="21.6" customHeight="1">
      <c r="A12" s="30">
        <v>45610</v>
      </c>
      <c r="B12" s="86" t="s">
        <v>469</v>
      </c>
      <c r="C12" s="48" t="s">
        <v>304</v>
      </c>
      <c r="D12" s="4" t="s">
        <v>361</v>
      </c>
      <c r="E12" s="61">
        <v>20</v>
      </c>
      <c r="F12" s="61">
        <v>300</v>
      </c>
      <c r="G12" s="49" t="s">
        <v>307</v>
      </c>
      <c r="H12" s="41">
        <v>3665.3</v>
      </c>
    </row>
    <row r="13" spans="1:8" ht="21.6" customHeight="1">
      <c r="A13" s="30">
        <v>45614</v>
      </c>
      <c r="B13" s="86" t="s">
        <v>469</v>
      </c>
      <c r="C13" s="48" t="s">
        <v>304</v>
      </c>
      <c r="D13" s="4" t="s">
        <v>335</v>
      </c>
      <c r="E13" s="61">
        <v>20</v>
      </c>
      <c r="F13" s="61">
        <v>300</v>
      </c>
      <c r="G13" s="49" t="s">
        <v>307</v>
      </c>
      <c r="H13" s="41">
        <v>3017</v>
      </c>
    </row>
    <row r="14" spans="1:8" ht="21.6" customHeight="1">
      <c r="A14" s="30">
        <v>45622</v>
      </c>
      <c r="B14" s="86" t="s">
        <v>469</v>
      </c>
      <c r="C14" s="48" t="s">
        <v>304</v>
      </c>
      <c r="D14" s="4" t="s">
        <v>452</v>
      </c>
      <c r="E14" s="61">
        <v>20</v>
      </c>
      <c r="F14" s="61">
        <v>300</v>
      </c>
      <c r="G14" s="49" t="s">
        <v>307</v>
      </c>
      <c r="H14" s="41">
        <v>6596.6</v>
      </c>
    </row>
    <row r="15" spans="1:8" ht="21.6" customHeight="1">
      <c r="A15" s="30">
        <v>45610</v>
      </c>
      <c r="B15" s="86" t="s">
        <v>469</v>
      </c>
      <c r="C15" s="48" t="s">
        <v>304</v>
      </c>
      <c r="D15" s="4" t="s">
        <v>361</v>
      </c>
      <c r="E15" s="61">
        <v>750</v>
      </c>
      <c r="F15" s="61">
        <v>700</v>
      </c>
      <c r="G15" s="49" t="s">
        <v>307</v>
      </c>
      <c r="H15" s="41">
        <v>6961.5</v>
      </c>
    </row>
    <row r="16" spans="1:8" ht="21.6" customHeight="1">
      <c r="A16" s="30">
        <v>45614</v>
      </c>
      <c r="B16" s="86" t="s">
        <v>469</v>
      </c>
      <c r="C16" s="48" t="s">
        <v>304</v>
      </c>
      <c r="D16" s="4" t="s">
        <v>335</v>
      </c>
      <c r="E16" s="61">
        <v>750</v>
      </c>
      <c r="F16" s="61">
        <v>700</v>
      </c>
      <c r="G16" s="49" t="s">
        <v>307</v>
      </c>
      <c r="H16" s="41">
        <v>6632</v>
      </c>
    </row>
    <row r="17" spans="1:8" ht="21.6" customHeight="1">
      <c r="A17" s="30">
        <v>45622</v>
      </c>
      <c r="B17" s="86" t="s">
        <v>469</v>
      </c>
      <c r="C17" s="48" t="s">
        <v>304</v>
      </c>
      <c r="D17" s="4" t="s">
        <v>452</v>
      </c>
      <c r="E17" s="61">
        <v>750</v>
      </c>
      <c r="F17" s="61">
        <v>700</v>
      </c>
      <c r="G17" s="49" t="s">
        <v>307</v>
      </c>
      <c r="H17" s="41">
        <v>11472.16</v>
      </c>
    </row>
    <row r="18" spans="1:8" ht="21.6" customHeight="1">
      <c r="A18" s="30">
        <v>45955</v>
      </c>
      <c r="B18" s="86" t="s">
        <v>469</v>
      </c>
      <c r="C18" s="48" t="s">
        <v>329</v>
      </c>
      <c r="D18" s="4" t="s">
        <v>332</v>
      </c>
      <c r="E18" s="4">
        <v>1800</v>
      </c>
      <c r="F18" s="4">
        <v>1013</v>
      </c>
      <c r="G18" s="49" t="s">
        <v>307</v>
      </c>
      <c r="H18" s="88">
        <v>9292</v>
      </c>
    </row>
    <row r="19" spans="1:8" ht="21.6" customHeight="1">
      <c r="A19" s="30">
        <v>45955</v>
      </c>
      <c r="B19" s="86" t="s">
        <v>469</v>
      </c>
      <c r="C19" s="48" t="s">
        <v>330</v>
      </c>
      <c r="D19" s="4" t="s">
        <v>332</v>
      </c>
      <c r="E19" s="4">
        <v>200</v>
      </c>
      <c r="F19" s="4">
        <v>1013</v>
      </c>
      <c r="G19" s="49" t="s">
        <v>307</v>
      </c>
      <c r="H19" s="88">
        <v>3620</v>
      </c>
    </row>
    <row r="20" spans="1:8" ht="21.6" customHeight="1">
      <c r="A20" s="30">
        <v>45643</v>
      </c>
      <c r="B20" s="86" t="s">
        <v>469</v>
      </c>
      <c r="C20" s="48" t="s">
        <v>304</v>
      </c>
      <c r="D20" s="4"/>
      <c r="E20" s="61">
        <v>3300</v>
      </c>
      <c r="F20" s="61">
        <v>650</v>
      </c>
      <c r="G20" s="49" t="s">
        <v>307</v>
      </c>
      <c r="H20" s="41">
        <v>18606.98</v>
      </c>
    </row>
    <row r="21" spans="1:8" ht="21.6" customHeight="1">
      <c r="A21" s="30">
        <v>45644</v>
      </c>
      <c r="B21" s="86" t="s">
        <v>469</v>
      </c>
      <c r="C21" s="48" t="s">
        <v>370</v>
      </c>
      <c r="D21" s="4" t="s">
        <v>331</v>
      </c>
      <c r="E21" s="61">
        <v>150</v>
      </c>
      <c r="F21" s="61">
        <v>300</v>
      </c>
      <c r="G21" s="49" t="s">
        <v>307</v>
      </c>
      <c r="H21" s="41">
        <v>1685.2</v>
      </c>
    </row>
    <row r="22" spans="1:8" ht="21.6" customHeight="1">
      <c r="A22" s="30">
        <v>45644</v>
      </c>
      <c r="B22" s="86" t="s">
        <v>469</v>
      </c>
      <c r="C22" s="48" t="s">
        <v>371</v>
      </c>
      <c r="D22" s="4" t="s">
        <v>331</v>
      </c>
      <c r="E22" s="61">
        <v>3300</v>
      </c>
      <c r="F22" s="61">
        <v>700</v>
      </c>
      <c r="G22" s="49" t="s">
        <v>307</v>
      </c>
      <c r="H22" s="41">
        <v>18340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0F12E-4CF5-4D24-811D-E47E44910592}">
  <dimension ref="A1:I2"/>
  <sheetViews>
    <sheetView workbookViewId="0">
      <selection activeCell="E10" sqref="E10"/>
    </sheetView>
  </sheetViews>
  <sheetFormatPr defaultRowHeight="14.4"/>
  <cols>
    <col min="1" max="1" width="13.6640625" customWidth="1"/>
    <col min="2" max="2" width="14.77734375" style="9" customWidth="1"/>
    <col min="3" max="3" width="36.44140625" customWidth="1"/>
    <col min="4" max="4" width="27.109375" customWidth="1"/>
    <col min="5" max="5" width="18.88671875" customWidth="1"/>
    <col min="6" max="6" width="15.77734375" customWidth="1"/>
    <col min="7" max="7" width="15.6640625" customWidth="1"/>
    <col min="8" max="8" width="14.21875" customWidth="1"/>
    <col min="9" max="9" width="19.21875" customWidth="1"/>
  </cols>
  <sheetData>
    <row r="1" spans="1:9">
      <c r="A1" s="5" t="s">
        <v>411</v>
      </c>
      <c r="B1" s="5" t="s">
        <v>436</v>
      </c>
      <c r="C1" s="5" t="s">
        <v>11</v>
      </c>
      <c r="D1" s="5" t="s">
        <v>389</v>
      </c>
      <c r="E1" s="10" t="s">
        <v>474</v>
      </c>
      <c r="F1" s="5" t="s">
        <v>473</v>
      </c>
      <c r="G1" s="5" t="s">
        <v>472</v>
      </c>
      <c r="H1" s="5" t="s">
        <v>471</v>
      </c>
      <c r="I1" s="5" t="s">
        <v>413</v>
      </c>
    </row>
    <row r="2" spans="1:9">
      <c r="A2" s="1"/>
      <c r="B2" s="4"/>
      <c r="C2" s="3"/>
      <c r="D2" s="3"/>
      <c r="E2" s="11"/>
      <c r="F2" s="4"/>
      <c r="G2" s="4"/>
      <c r="H2" s="6"/>
      <c r="I2" s="6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939E2-A6BF-45A6-A468-C7C956D67F72}">
  <dimension ref="A1:I2"/>
  <sheetViews>
    <sheetView workbookViewId="0">
      <selection activeCell="A3" sqref="A3"/>
    </sheetView>
  </sheetViews>
  <sheetFormatPr defaultRowHeight="14.4"/>
  <cols>
    <col min="2" max="2" width="18.33203125" bestFit="1" customWidth="1"/>
  </cols>
  <sheetData>
    <row r="1" spans="1:9">
      <c r="A1" s="5" t="s">
        <v>12</v>
      </c>
      <c r="B1" s="5" t="s">
        <v>11</v>
      </c>
      <c r="C1" s="10" t="s">
        <v>23</v>
      </c>
      <c r="D1" s="5" t="s">
        <v>26</v>
      </c>
      <c r="E1" s="5" t="s">
        <v>9</v>
      </c>
      <c r="F1" s="5" t="s">
        <v>8</v>
      </c>
      <c r="G1" s="5" t="s">
        <v>7</v>
      </c>
      <c r="H1" s="5" t="s">
        <v>6</v>
      </c>
      <c r="I1" s="5" t="s">
        <v>10</v>
      </c>
    </row>
    <row r="2" spans="1:9">
      <c r="A2" s="1">
        <v>1</v>
      </c>
      <c r="B2" s="3" t="s">
        <v>13</v>
      </c>
      <c r="C2" s="11" t="s">
        <v>39</v>
      </c>
      <c r="D2" s="4" t="s">
        <v>39</v>
      </c>
      <c r="E2" s="4" t="s">
        <v>16</v>
      </c>
      <c r="F2" s="6">
        <v>4</v>
      </c>
      <c r="G2" s="6">
        <v>4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CADB9-F77E-43ED-B7A9-A4EFD8E77FCB}">
  <dimension ref="A1:G2"/>
  <sheetViews>
    <sheetView workbookViewId="0">
      <selection sqref="A1:XFD1"/>
    </sheetView>
  </sheetViews>
  <sheetFormatPr defaultRowHeight="14.4"/>
  <cols>
    <col min="2" max="2" width="16.6640625" bestFit="1" customWidth="1"/>
  </cols>
  <sheetData>
    <row r="1" spans="1:7">
      <c r="A1" s="5" t="s">
        <v>12</v>
      </c>
      <c r="B1" s="5" t="s">
        <v>11</v>
      </c>
      <c r="C1" s="10" t="s">
        <v>23</v>
      </c>
      <c r="D1" s="5" t="s">
        <v>26</v>
      </c>
      <c r="E1" s="5" t="s">
        <v>9</v>
      </c>
      <c r="F1" s="5" t="s">
        <v>8</v>
      </c>
      <c r="G1" s="5" t="s">
        <v>7</v>
      </c>
    </row>
    <row r="2" spans="1:7">
      <c r="A2" s="1">
        <v>1</v>
      </c>
      <c r="B2" s="3" t="s">
        <v>18</v>
      </c>
      <c r="C2" s="11" t="s">
        <v>45</v>
      </c>
      <c r="D2" s="4" t="s">
        <v>41</v>
      </c>
      <c r="E2" s="4" t="s">
        <v>16</v>
      </c>
      <c r="F2" s="6">
        <v>4</v>
      </c>
      <c r="G2" s="6">
        <v>4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AE5E1-ED8F-4783-95C4-C9B75E1E7F5A}">
  <dimension ref="A1:G8"/>
  <sheetViews>
    <sheetView workbookViewId="0">
      <selection activeCell="J16" sqref="J16"/>
    </sheetView>
  </sheetViews>
  <sheetFormatPr defaultRowHeight="14.4"/>
  <cols>
    <col min="2" max="2" width="16.6640625" bestFit="1" customWidth="1"/>
  </cols>
  <sheetData>
    <row r="1" spans="1:7">
      <c r="A1" s="5" t="s">
        <v>12</v>
      </c>
      <c r="B1" s="5" t="s">
        <v>11</v>
      </c>
      <c r="C1" s="10" t="s">
        <v>23</v>
      </c>
      <c r="D1" s="5" t="s">
        <v>26</v>
      </c>
      <c r="E1" s="5" t="s">
        <v>9</v>
      </c>
      <c r="F1" s="5" t="s">
        <v>8</v>
      </c>
      <c r="G1" s="5" t="s">
        <v>7</v>
      </c>
    </row>
    <row r="2" spans="1:7">
      <c r="A2" s="1">
        <v>1</v>
      </c>
      <c r="B2" s="3" t="s">
        <v>17</v>
      </c>
      <c r="C2" s="11" t="s">
        <v>44</v>
      </c>
      <c r="D2" s="4" t="s">
        <v>41</v>
      </c>
      <c r="E2" s="4" t="s">
        <v>16</v>
      </c>
      <c r="F2" s="6">
        <v>76</v>
      </c>
      <c r="G2" s="6">
        <v>76</v>
      </c>
    </row>
    <row r="8" spans="1:7">
      <c r="A8" t="s">
        <v>51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67DD5-E46C-4515-AFD7-5D85E0794134}">
  <dimension ref="A1:L10"/>
  <sheetViews>
    <sheetView workbookViewId="0">
      <selection activeCell="K15" sqref="K15"/>
    </sheetView>
  </sheetViews>
  <sheetFormatPr defaultRowHeight="14.4"/>
  <cols>
    <col min="2" max="2" width="16.6640625" bestFit="1" customWidth="1"/>
    <col min="7" max="7" width="14.21875" customWidth="1"/>
    <col min="8" max="8" width="13.33203125" customWidth="1"/>
    <col min="9" max="9" width="10.77734375" customWidth="1"/>
    <col min="10" max="10" width="15.21875" customWidth="1"/>
    <col min="11" max="11" width="9.21875" bestFit="1" customWidth="1"/>
    <col min="12" max="12" width="9.88671875" bestFit="1" customWidth="1"/>
  </cols>
  <sheetData>
    <row r="1" spans="1:12">
      <c r="A1" s="7"/>
      <c r="B1" s="3"/>
      <c r="C1" s="11"/>
      <c r="D1" s="4"/>
      <c r="E1" s="4"/>
      <c r="F1" s="6"/>
      <c r="G1" s="6"/>
      <c r="H1" s="6"/>
      <c r="I1" s="6"/>
      <c r="J1" s="2">
        <v>18.690000000000001</v>
      </c>
      <c r="K1" s="2"/>
      <c r="L1" s="2"/>
    </row>
    <row r="2" spans="1:12">
      <c r="A2" s="7"/>
      <c r="B2" s="3"/>
      <c r="C2" s="11"/>
      <c r="D2" s="4"/>
      <c r="E2" s="4"/>
      <c r="F2" s="6"/>
      <c r="G2" s="93" t="s">
        <v>148</v>
      </c>
      <c r="H2" s="93"/>
      <c r="I2" s="6" t="s">
        <v>155</v>
      </c>
      <c r="J2" s="2" t="s">
        <v>157</v>
      </c>
      <c r="K2" s="2" t="s">
        <v>159</v>
      </c>
      <c r="L2" s="2" t="s">
        <v>160</v>
      </c>
    </row>
    <row r="3" spans="1:12">
      <c r="B3" s="2"/>
      <c r="C3" s="2"/>
      <c r="D3" s="2"/>
      <c r="E3" s="2"/>
      <c r="F3" s="2"/>
      <c r="G3" s="29">
        <v>44837</v>
      </c>
      <c r="H3" s="29">
        <v>44855</v>
      </c>
      <c r="I3" s="29">
        <v>44839</v>
      </c>
      <c r="J3" s="29">
        <v>44922</v>
      </c>
      <c r="K3" s="29">
        <v>44837</v>
      </c>
      <c r="L3" s="29">
        <v>44837</v>
      </c>
    </row>
    <row r="4" spans="1:12">
      <c r="B4" s="3" t="s">
        <v>113</v>
      </c>
      <c r="C4" s="11" t="s">
        <v>153</v>
      </c>
      <c r="D4" s="4" t="s">
        <v>224</v>
      </c>
      <c r="E4" s="4" t="s">
        <v>154</v>
      </c>
      <c r="F4" s="33">
        <v>3</v>
      </c>
      <c r="G4" s="35">
        <v>14.56</v>
      </c>
      <c r="H4" s="35">
        <v>13.27</v>
      </c>
      <c r="I4" s="35">
        <v>17.100000000000001</v>
      </c>
      <c r="J4" s="35">
        <f>311/J1</f>
        <v>16.63991439272338</v>
      </c>
      <c r="K4" s="35">
        <v>16.399999999999999</v>
      </c>
      <c r="L4" s="43">
        <v>17</v>
      </c>
    </row>
    <row r="5" spans="1:12">
      <c r="B5" s="3" t="s">
        <v>104</v>
      </c>
      <c r="C5" s="11" t="s">
        <v>153</v>
      </c>
      <c r="D5" s="4" t="s">
        <v>224</v>
      </c>
      <c r="E5" s="4" t="s">
        <v>154</v>
      </c>
      <c r="F5" s="33">
        <v>3</v>
      </c>
      <c r="G5" s="35">
        <v>20.86</v>
      </c>
      <c r="H5" s="35">
        <v>18.96</v>
      </c>
      <c r="I5" s="35">
        <v>24.6</v>
      </c>
      <c r="J5" s="35">
        <f>447/J1</f>
        <v>23.916532905296947</v>
      </c>
      <c r="K5" s="35">
        <v>23.6</v>
      </c>
      <c r="L5" s="43">
        <v>23</v>
      </c>
    </row>
    <row r="6" spans="1:12">
      <c r="B6" s="3" t="s">
        <v>106</v>
      </c>
      <c r="C6" s="11" t="s">
        <v>153</v>
      </c>
      <c r="D6" s="4" t="s">
        <v>224</v>
      </c>
      <c r="E6" s="4" t="s">
        <v>154</v>
      </c>
      <c r="F6" s="33">
        <v>3</v>
      </c>
      <c r="G6" s="35">
        <v>31.36</v>
      </c>
      <c r="H6" s="35">
        <v>28.81</v>
      </c>
      <c r="I6" s="35">
        <v>35.700000000000003</v>
      </c>
      <c r="J6" s="35">
        <f>667/J1</f>
        <v>35.687533440342428</v>
      </c>
      <c r="K6" s="35">
        <v>35.1</v>
      </c>
      <c r="L6" s="43">
        <v>35</v>
      </c>
    </row>
    <row r="7" spans="1:12">
      <c r="B7" s="3" t="s">
        <v>105</v>
      </c>
      <c r="C7" s="11" t="s">
        <v>153</v>
      </c>
      <c r="D7" s="4" t="s">
        <v>224</v>
      </c>
      <c r="E7" s="4" t="s">
        <v>154</v>
      </c>
      <c r="F7" s="33">
        <v>3</v>
      </c>
      <c r="G7" s="35">
        <v>39.340000000000003</v>
      </c>
      <c r="H7" s="35">
        <v>37.049999999999997</v>
      </c>
      <c r="I7" s="35">
        <v>48.3</v>
      </c>
      <c r="J7" s="35">
        <f>866/J1</f>
        <v>46.334938469769931</v>
      </c>
      <c r="K7" s="35">
        <v>45.3</v>
      </c>
      <c r="L7" s="43">
        <v>45</v>
      </c>
    </row>
    <row r="8" spans="1:12">
      <c r="B8" s="3" t="s">
        <v>107</v>
      </c>
      <c r="C8" s="11" t="s">
        <v>153</v>
      </c>
      <c r="D8" s="4" t="s">
        <v>224</v>
      </c>
      <c r="E8" s="4" t="s">
        <v>154</v>
      </c>
      <c r="F8" s="33">
        <v>3</v>
      </c>
      <c r="G8" s="35">
        <v>48.79</v>
      </c>
      <c r="H8" s="35">
        <v>45.36</v>
      </c>
      <c r="I8" s="35">
        <v>69.3</v>
      </c>
      <c r="J8" s="35">
        <f>1063/J1</f>
        <v>56.87533440342429</v>
      </c>
      <c r="K8" s="35">
        <v>56.15</v>
      </c>
      <c r="L8" s="43">
        <v>57</v>
      </c>
    </row>
    <row r="9" spans="1:12">
      <c r="B9" s="3" t="s">
        <v>119</v>
      </c>
      <c r="C9" s="11" t="s">
        <v>153</v>
      </c>
      <c r="D9" s="4" t="s">
        <v>224</v>
      </c>
      <c r="E9" s="4" t="s">
        <v>154</v>
      </c>
      <c r="F9" s="33">
        <v>3</v>
      </c>
      <c r="G9" s="35">
        <v>58.73</v>
      </c>
      <c r="H9" s="35">
        <v>54.27</v>
      </c>
      <c r="I9" s="35">
        <v>122.5</v>
      </c>
      <c r="J9" s="35">
        <f>1283/J1</f>
        <v>68.646334938469764</v>
      </c>
      <c r="K9" s="35">
        <v>67.87</v>
      </c>
      <c r="L9" s="43">
        <v>75</v>
      </c>
    </row>
    <row r="10" spans="1:12">
      <c r="B10" s="3" t="s">
        <v>108</v>
      </c>
      <c r="C10" s="11" t="s">
        <v>153</v>
      </c>
      <c r="D10" s="4" t="s">
        <v>224</v>
      </c>
      <c r="E10" s="4" t="s">
        <v>154</v>
      </c>
      <c r="F10" s="33">
        <v>4</v>
      </c>
      <c r="G10" s="35"/>
      <c r="H10" s="35"/>
      <c r="I10" s="35"/>
      <c r="J10" s="35">
        <f>2267/J1</f>
        <v>121.29481005885499</v>
      </c>
      <c r="K10" s="35">
        <v>119.2</v>
      </c>
      <c r="L10" s="43">
        <v>120</v>
      </c>
    </row>
  </sheetData>
  <mergeCells count="1">
    <mergeCell ref="G2:H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A7400-F60E-47E8-A753-5462119CDE85}">
  <dimension ref="B1:O46"/>
  <sheetViews>
    <sheetView zoomScaleNormal="100" workbookViewId="0">
      <selection activeCell="I54" sqref="I54"/>
    </sheetView>
  </sheetViews>
  <sheetFormatPr defaultRowHeight="14.4"/>
  <cols>
    <col min="2" max="2" width="15.77734375" customWidth="1"/>
    <col min="3" max="3" width="13.21875" bestFit="1" customWidth="1"/>
    <col min="4" max="4" width="12.21875" customWidth="1"/>
    <col min="5" max="5" width="8.88671875" style="9"/>
    <col min="6" max="6" width="10.109375" style="9" bestFit="1" customWidth="1"/>
    <col min="7" max="7" width="12.33203125" style="9" customWidth="1"/>
    <col min="8" max="8" width="12.5546875" style="9" customWidth="1"/>
    <col min="9" max="10" width="12.6640625" bestFit="1" customWidth="1"/>
    <col min="11" max="11" width="11.77734375" bestFit="1" customWidth="1"/>
    <col min="12" max="12" width="11.5546875" customWidth="1"/>
    <col min="13" max="13" width="9.77734375" bestFit="1" customWidth="1"/>
  </cols>
  <sheetData>
    <row r="1" spans="2:15">
      <c r="B1" s="2"/>
      <c r="C1" s="2"/>
      <c r="D1" s="2"/>
      <c r="E1" s="4"/>
      <c r="F1" s="92" t="s">
        <v>148</v>
      </c>
      <c r="G1" s="92"/>
      <c r="H1" s="4" t="s">
        <v>155</v>
      </c>
      <c r="I1" s="2" t="s">
        <v>157</v>
      </c>
      <c r="J1" s="2" t="s">
        <v>158</v>
      </c>
      <c r="K1" s="2" t="s">
        <v>159</v>
      </c>
      <c r="L1" s="2" t="s">
        <v>160</v>
      </c>
    </row>
    <row r="2" spans="2:15">
      <c r="B2" s="2"/>
      <c r="C2" s="2"/>
      <c r="D2" s="2"/>
      <c r="E2" s="4"/>
      <c r="F2" s="30">
        <v>45568</v>
      </c>
      <c r="G2" s="30">
        <v>44855</v>
      </c>
      <c r="H2" s="30">
        <v>44839</v>
      </c>
      <c r="I2" s="29">
        <v>44922</v>
      </c>
      <c r="J2" s="29">
        <v>44837</v>
      </c>
      <c r="K2" s="29">
        <v>44837</v>
      </c>
      <c r="L2" s="29">
        <v>44837</v>
      </c>
    </row>
    <row r="3" spans="2:15">
      <c r="B3" s="3" t="s">
        <v>146</v>
      </c>
      <c r="C3" s="11" t="s">
        <v>40</v>
      </c>
      <c r="D3" s="4" t="s">
        <v>137</v>
      </c>
      <c r="E3" s="4" t="s">
        <v>138</v>
      </c>
      <c r="F3" s="32">
        <v>15.54</v>
      </c>
      <c r="G3" s="32">
        <v>13.94</v>
      </c>
      <c r="H3" s="32">
        <v>68.989999999999995</v>
      </c>
      <c r="I3" s="32"/>
      <c r="J3" s="32"/>
      <c r="K3" s="2"/>
      <c r="L3" s="41">
        <v>25</v>
      </c>
    </row>
    <row r="4" spans="2:15">
      <c r="B4" s="3" t="s">
        <v>146</v>
      </c>
      <c r="C4" s="11" t="s">
        <v>40</v>
      </c>
      <c r="D4" s="4" t="s">
        <v>137</v>
      </c>
      <c r="E4" s="4" t="s">
        <v>129</v>
      </c>
      <c r="F4" s="32"/>
      <c r="G4" s="32"/>
      <c r="H4" s="32"/>
      <c r="I4" s="32"/>
      <c r="J4" s="32">
        <v>81.650000000000006</v>
      </c>
      <c r="K4" s="2"/>
      <c r="L4" s="41"/>
    </row>
    <row r="5" spans="2:15">
      <c r="B5" s="3" t="s">
        <v>146</v>
      </c>
      <c r="C5" s="11" t="s">
        <v>40</v>
      </c>
      <c r="D5" s="4" t="s">
        <v>137</v>
      </c>
      <c r="E5" s="4" t="s">
        <v>131</v>
      </c>
      <c r="F5" s="32"/>
      <c r="G5" s="32"/>
      <c r="H5" s="32"/>
      <c r="I5" s="32">
        <v>24.8</v>
      </c>
      <c r="J5" s="32"/>
      <c r="K5" s="2"/>
      <c r="L5" s="41"/>
    </row>
    <row r="6" spans="2:15">
      <c r="B6" s="3" t="s">
        <v>141</v>
      </c>
      <c r="C6" s="11" t="s">
        <v>40</v>
      </c>
      <c r="D6" s="4" t="s">
        <v>137</v>
      </c>
      <c r="E6" s="4" t="s">
        <v>130</v>
      </c>
      <c r="F6" s="32">
        <v>33.32</v>
      </c>
      <c r="G6" s="32">
        <v>31.2</v>
      </c>
      <c r="H6" s="32">
        <v>44.55</v>
      </c>
      <c r="I6" s="32">
        <v>33.950000000000003</v>
      </c>
      <c r="J6" s="32">
        <v>50.45</v>
      </c>
      <c r="K6" s="32">
        <v>36.799999999999997</v>
      </c>
      <c r="L6" s="41">
        <v>36</v>
      </c>
    </row>
    <row r="7" spans="2:15">
      <c r="B7" s="3" t="s">
        <v>145</v>
      </c>
      <c r="C7" s="11" t="s">
        <v>40</v>
      </c>
      <c r="D7" s="4" t="s">
        <v>137</v>
      </c>
      <c r="E7" s="4" t="s">
        <v>138</v>
      </c>
      <c r="F7" s="32">
        <v>31.85</v>
      </c>
      <c r="G7" s="32">
        <v>29.11</v>
      </c>
      <c r="H7" s="32">
        <v>129.25</v>
      </c>
      <c r="I7" s="32"/>
      <c r="J7" s="32">
        <v>153.15</v>
      </c>
      <c r="K7" s="2"/>
      <c r="L7" s="41"/>
    </row>
    <row r="8" spans="2:15">
      <c r="B8" s="3" t="s">
        <v>145</v>
      </c>
      <c r="C8" s="11" t="s">
        <v>40</v>
      </c>
      <c r="D8" s="4" t="s">
        <v>137</v>
      </c>
      <c r="E8" s="4" t="s">
        <v>130</v>
      </c>
      <c r="F8" s="32">
        <v>40.81</v>
      </c>
      <c r="G8" s="32">
        <v>38</v>
      </c>
      <c r="H8" s="32">
        <v>54.1</v>
      </c>
      <c r="I8" s="32">
        <v>41.35</v>
      </c>
      <c r="J8" s="32">
        <v>61.7</v>
      </c>
      <c r="K8" s="32">
        <v>44.3</v>
      </c>
      <c r="L8" s="41">
        <v>46</v>
      </c>
    </row>
    <row r="9" spans="2:15">
      <c r="B9" s="3" t="s">
        <v>144</v>
      </c>
      <c r="C9" s="11" t="s">
        <v>40</v>
      </c>
      <c r="D9" s="4" t="s">
        <v>137</v>
      </c>
      <c r="E9" s="4" t="s">
        <v>130</v>
      </c>
      <c r="F9" s="32">
        <v>52.15</v>
      </c>
      <c r="G9" s="32">
        <v>49</v>
      </c>
      <c r="H9" s="32">
        <v>68</v>
      </c>
      <c r="I9" s="32">
        <v>49</v>
      </c>
      <c r="J9" s="32">
        <v>77.099999999999994</v>
      </c>
      <c r="K9" s="32">
        <v>48.9</v>
      </c>
      <c r="L9" s="41">
        <v>57</v>
      </c>
    </row>
    <row r="10" spans="2:15">
      <c r="B10" s="3" t="s">
        <v>143</v>
      </c>
      <c r="C10" s="11" t="s">
        <v>40</v>
      </c>
      <c r="D10" s="4" t="s">
        <v>137</v>
      </c>
      <c r="E10" s="4"/>
      <c r="F10" s="32"/>
      <c r="G10" s="32"/>
      <c r="H10" s="32"/>
      <c r="I10" s="32"/>
      <c r="J10" s="32"/>
      <c r="K10" s="2"/>
      <c r="L10" s="41"/>
      <c r="N10" s="37"/>
      <c r="O10" s="37"/>
    </row>
    <row r="11" spans="2:15">
      <c r="B11" s="3" t="s">
        <v>156</v>
      </c>
      <c r="C11" s="11" t="s">
        <v>40</v>
      </c>
      <c r="D11" s="4" t="s">
        <v>137</v>
      </c>
      <c r="E11" s="4" t="s">
        <v>129</v>
      </c>
      <c r="F11" s="32">
        <v>98.7</v>
      </c>
      <c r="G11" s="32">
        <v>92.81</v>
      </c>
      <c r="H11" s="32">
        <v>113.85</v>
      </c>
      <c r="I11" s="32">
        <v>82</v>
      </c>
      <c r="J11" s="32">
        <v>128.94999999999999</v>
      </c>
      <c r="K11" s="32">
        <v>105.8</v>
      </c>
      <c r="L11" s="41">
        <v>105</v>
      </c>
      <c r="N11" s="37"/>
      <c r="O11" s="37"/>
    </row>
    <row r="12" spans="2:15">
      <c r="B12" s="3" t="s">
        <v>156</v>
      </c>
      <c r="C12" s="11" t="s">
        <v>40</v>
      </c>
      <c r="D12" s="4" t="s">
        <v>137</v>
      </c>
      <c r="E12" s="4" t="s">
        <v>138</v>
      </c>
      <c r="F12" s="32"/>
      <c r="G12" s="32">
        <v>70.06</v>
      </c>
      <c r="H12" s="32">
        <v>349.85</v>
      </c>
      <c r="I12" s="32"/>
      <c r="J12" s="32">
        <v>382.1</v>
      </c>
      <c r="K12" s="2"/>
      <c r="L12" s="41"/>
    </row>
    <row r="13" spans="2:15">
      <c r="B13" s="12"/>
      <c r="C13" s="39"/>
      <c r="D13" s="13"/>
      <c r="E13" s="13"/>
      <c r="F13" s="34"/>
      <c r="G13" s="34"/>
    </row>
    <row r="14" spans="2:15">
      <c r="B14" s="3"/>
      <c r="C14" s="11"/>
      <c r="D14" s="4"/>
      <c r="E14" s="4"/>
      <c r="F14" s="4"/>
      <c r="G14" s="92" t="s">
        <v>148</v>
      </c>
      <c r="H14" s="92"/>
      <c r="I14" s="2" t="s">
        <v>155</v>
      </c>
      <c r="J14" s="2" t="s">
        <v>157</v>
      </c>
      <c r="K14" s="2" t="s">
        <v>158</v>
      </c>
      <c r="L14" s="2" t="s">
        <v>159</v>
      </c>
      <c r="M14" s="2" t="s">
        <v>160</v>
      </c>
    </row>
    <row r="15" spans="2:15">
      <c r="B15" s="2"/>
      <c r="C15" s="2"/>
      <c r="D15" s="2"/>
      <c r="E15" s="4"/>
      <c r="F15" s="4"/>
      <c r="G15" s="30">
        <v>44855</v>
      </c>
      <c r="H15" s="30">
        <v>44837</v>
      </c>
      <c r="I15" s="29">
        <v>44839</v>
      </c>
      <c r="J15" s="29">
        <v>44922</v>
      </c>
      <c r="K15" s="29">
        <v>44837</v>
      </c>
      <c r="L15" s="29">
        <v>44837</v>
      </c>
      <c r="M15" s="29">
        <v>44837</v>
      </c>
    </row>
    <row r="16" spans="2:15">
      <c r="B16" s="3" t="s">
        <v>147</v>
      </c>
      <c r="C16" s="11" t="s">
        <v>42</v>
      </c>
      <c r="D16" s="4" t="s">
        <v>140</v>
      </c>
      <c r="E16" s="4" t="s">
        <v>139</v>
      </c>
      <c r="F16" s="31">
        <v>3</v>
      </c>
      <c r="G16" s="32">
        <v>3.9</v>
      </c>
      <c r="H16" s="32">
        <v>4.13</v>
      </c>
      <c r="I16" s="32">
        <v>5.5</v>
      </c>
      <c r="J16" s="32">
        <v>3</v>
      </c>
      <c r="K16" s="32">
        <v>6.2</v>
      </c>
      <c r="L16" s="32">
        <v>4.8499999999999996</v>
      </c>
      <c r="M16" s="41">
        <v>4.3</v>
      </c>
    </row>
    <row r="17" spans="2:13">
      <c r="B17" s="3" t="s">
        <v>146</v>
      </c>
      <c r="C17" s="11" t="s">
        <v>42</v>
      </c>
      <c r="D17" s="4" t="s">
        <v>140</v>
      </c>
      <c r="E17" s="4" t="s">
        <v>139</v>
      </c>
      <c r="F17" s="31">
        <v>3</v>
      </c>
      <c r="G17" s="32">
        <v>6.7</v>
      </c>
      <c r="H17" s="32">
        <v>7.14</v>
      </c>
      <c r="I17" s="32">
        <v>9.98</v>
      </c>
      <c r="J17" s="32">
        <v>7.25</v>
      </c>
      <c r="K17" s="32">
        <v>11.7</v>
      </c>
      <c r="L17" s="32">
        <v>7</v>
      </c>
      <c r="M17" s="41">
        <v>5.5</v>
      </c>
    </row>
    <row r="18" spans="2:13">
      <c r="B18" s="3" t="s">
        <v>141</v>
      </c>
      <c r="C18" s="11" t="s">
        <v>42</v>
      </c>
      <c r="D18" s="4" t="s">
        <v>140</v>
      </c>
      <c r="E18" s="4" t="s">
        <v>139</v>
      </c>
      <c r="F18" s="31">
        <v>3</v>
      </c>
      <c r="G18" s="32">
        <v>14</v>
      </c>
      <c r="H18" s="32">
        <v>14.91</v>
      </c>
      <c r="I18" s="32">
        <v>22.75</v>
      </c>
      <c r="J18" s="32">
        <v>15.5</v>
      </c>
      <c r="K18" s="32">
        <v>26.65</v>
      </c>
      <c r="L18" s="32">
        <v>14.3</v>
      </c>
      <c r="M18" s="41">
        <v>17</v>
      </c>
    </row>
    <row r="19" spans="2:13">
      <c r="B19" s="3" t="s">
        <v>145</v>
      </c>
      <c r="C19" s="11" t="s">
        <v>42</v>
      </c>
      <c r="D19" s="4" t="s">
        <v>140</v>
      </c>
      <c r="E19" s="4" t="s">
        <v>139</v>
      </c>
      <c r="F19" s="31">
        <v>3</v>
      </c>
      <c r="G19" s="32">
        <v>23</v>
      </c>
      <c r="H19" s="32">
        <v>24.43</v>
      </c>
      <c r="I19" s="32">
        <v>40.5</v>
      </c>
      <c r="J19" s="32">
        <v>24.65</v>
      </c>
      <c r="K19" s="32">
        <v>45.86</v>
      </c>
      <c r="L19" s="32">
        <v>23</v>
      </c>
      <c r="M19" s="41">
        <v>20</v>
      </c>
    </row>
    <row r="20" spans="2:13">
      <c r="B20" s="3" t="s">
        <v>144</v>
      </c>
      <c r="C20" s="11" t="s">
        <v>42</v>
      </c>
      <c r="D20" s="4" t="s">
        <v>140</v>
      </c>
      <c r="E20" s="4" t="s">
        <v>139</v>
      </c>
      <c r="F20" s="31">
        <v>3</v>
      </c>
      <c r="G20" s="32">
        <v>39.01</v>
      </c>
      <c r="H20" s="32">
        <v>41.72</v>
      </c>
      <c r="I20" s="32">
        <v>59.8</v>
      </c>
      <c r="J20" s="32">
        <v>39.200000000000003</v>
      </c>
      <c r="K20" s="32">
        <v>67.599999999999994</v>
      </c>
      <c r="L20" s="32">
        <v>37.5</v>
      </c>
      <c r="M20" s="41">
        <v>40</v>
      </c>
    </row>
    <row r="21" spans="2:13">
      <c r="B21" s="3" t="s">
        <v>143</v>
      </c>
      <c r="C21" s="11" t="s">
        <v>42</v>
      </c>
      <c r="D21" s="4" t="s">
        <v>140</v>
      </c>
      <c r="E21" s="4" t="s">
        <v>139</v>
      </c>
      <c r="F21" s="31">
        <v>3</v>
      </c>
      <c r="G21" s="32">
        <v>56</v>
      </c>
      <c r="H21" s="32">
        <v>60.2</v>
      </c>
      <c r="I21" s="32">
        <v>84.25</v>
      </c>
      <c r="J21" s="32">
        <v>55</v>
      </c>
      <c r="K21" s="32">
        <v>99.5</v>
      </c>
      <c r="L21" s="32">
        <v>57.5</v>
      </c>
      <c r="M21" s="41">
        <v>60</v>
      </c>
    </row>
    <row r="22" spans="2:13">
      <c r="B22" s="27"/>
      <c r="C22" s="28"/>
      <c r="D22" s="26"/>
      <c r="E22" s="26"/>
      <c r="F22" s="42"/>
      <c r="G22" s="40"/>
      <c r="H22" s="40"/>
      <c r="I22" s="20">
        <v>44839</v>
      </c>
    </row>
    <row r="23" spans="2:13">
      <c r="B23" s="3" t="s">
        <v>147</v>
      </c>
      <c r="C23" s="11" t="s">
        <v>43</v>
      </c>
      <c r="D23" s="4" t="s">
        <v>140</v>
      </c>
      <c r="E23" s="4" t="s">
        <v>139</v>
      </c>
      <c r="F23" s="31">
        <v>3</v>
      </c>
      <c r="G23" s="32"/>
      <c r="H23" s="32"/>
      <c r="I23" s="32">
        <v>3.6</v>
      </c>
      <c r="J23" s="32">
        <v>2.5</v>
      </c>
      <c r="K23" s="34">
        <v>4.25</v>
      </c>
    </row>
    <row r="24" spans="2:13">
      <c r="B24" s="3" t="s">
        <v>146</v>
      </c>
      <c r="C24" s="11" t="s">
        <v>43</v>
      </c>
      <c r="D24" s="4" t="s">
        <v>140</v>
      </c>
      <c r="E24" s="4" t="s">
        <v>139</v>
      </c>
      <c r="F24" s="31">
        <v>3</v>
      </c>
      <c r="G24" s="32"/>
      <c r="H24" s="32"/>
      <c r="I24" s="32">
        <v>7.1</v>
      </c>
      <c r="J24" s="32">
        <v>6</v>
      </c>
      <c r="K24" s="34">
        <v>8.5</v>
      </c>
    </row>
    <row r="25" spans="2:13">
      <c r="B25" s="3" t="s">
        <v>141</v>
      </c>
      <c r="C25" s="11" t="s">
        <v>43</v>
      </c>
      <c r="D25" s="4" t="s">
        <v>140</v>
      </c>
      <c r="E25" s="4" t="s">
        <v>139</v>
      </c>
      <c r="F25" s="31">
        <v>3</v>
      </c>
      <c r="G25" s="32"/>
      <c r="H25" s="32"/>
      <c r="I25" s="32">
        <v>16.100000000000001</v>
      </c>
      <c r="J25" s="32">
        <v>11</v>
      </c>
      <c r="K25" s="34">
        <v>18.2</v>
      </c>
    </row>
    <row r="26" spans="2:13">
      <c r="B26" s="3" t="s">
        <v>145</v>
      </c>
      <c r="C26" s="11" t="s">
        <v>43</v>
      </c>
      <c r="D26" s="4" t="s">
        <v>140</v>
      </c>
      <c r="E26" s="4" t="s">
        <v>139</v>
      </c>
      <c r="F26" s="31">
        <v>3</v>
      </c>
      <c r="G26" s="32"/>
      <c r="H26" s="32"/>
      <c r="I26" s="32">
        <v>26.7</v>
      </c>
      <c r="J26" s="32">
        <v>16</v>
      </c>
      <c r="K26" s="36">
        <v>31.55</v>
      </c>
    </row>
    <row r="27" spans="2:13">
      <c r="B27" s="3" t="s">
        <v>119</v>
      </c>
      <c r="C27" s="11" t="s">
        <v>43</v>
      </c>
      <c r="D27" s="4" t="s">
        <v>140</v>
      </c>
      <c r="E27" s="4" t="s">
        <v>139</v>
      </c>
      <c r="F27" s="31">
        <v>3</v>
      </c>
      <c r="G27" s="32"/>
      <c r="H27" s="32"/>
      <c r="I27" s="32">
        <v>58</v>
      </c>
      <c r="J27" s="32">
        <v>35</v>
      </c>
      <c r="K27" s="36">
        <v>68.7</v>
      </c>
    </row>
    <row r="28" spans="2:13">
      <c r="B28" s="3"/>
      <c r="C28" s="11"/>
      <c r="D28" s="4"/>
      <c r="E28" s="4"/>
      <c r="F28" s="31"/>
      <c r="G28" s="32"/>
      <c r="H28" s="32"/>
    </row>
    <row r="29" spans="2:13">
      <c r="B29" s="3"/>
      <c r="C29" s="11"/>
      <c r="D29" s="4"/>
      <c r="E29" s="4"/>
      <c r="F29" s="31"/>
      <c r="G29" s="32"/>
      <c r="H29" s="32"/>
    </row>
    <row r="30" spans="2:13">
      <c r="B30" s="3"/>
      <c r="C30" s="11"/>
      <c r="D30" s="4"/>
      <c r="E30" s="4"/>
      <c r="F30" s="31"/>
      <c r="G30" s="32"/>
      <c r="H30" s="32"/>
    </row>
    <row r="31" spans="2:13">
      <c r="B31" s="2"/>
      <c r="C31" s="2"/>
      <c r="D31" s="2"/>
      <c r="E31" s="4"/>
      <c r="F31" s="4"/>
      <c r="G31" s="32"/>
      <c r="H31" s="32"/>
    </row>
    <row r="32" spans="2:13">
      <c r="B32" s="2"/>
      <c r="C32" s="2"/>
      <c r="D32" s="2"/>
      <c r="E32" s="4"/>
      <c r="F32" s="4"/>
      <c r="G32" s="32"/>
      <c r="H32" s="32"/>
    </row>
    <row r="33" spans="2:13">
      <c r="B33" s="2"/>
      <c r="C33" s="2"/>
      <c r="D33" s="2"/>
      <c r="E33" s="4"/>
      <c r="F33" s="4"/>
      <c r="G33" s="32"/>
      <c r="H33" s="32"/>
    </row>
    <row r="34" spans="2:13">
      <c r="B34" s="3" t="s">
        <v>141</v>
      </c>
      <c r="C34" s="11" t="s">
        <v>45</v>
      </c>
      <c r="D34" s="4" t="s">
        <v>140</v>
      </c>
      <c r="E34" s="4" t="s">
        <v>142</v>
      </c>
      <c r="F34" s="31">
        <v>3.05</v>
      </c>
      <c r="G34" s="32">
        <v>6.42</v>
      </c>
      <c r="H34" s="32">
        <v>6.83</v>
      </c>
      <c r="L34" s="32">
        <v>5.75</v>
      </c>
    </row>
    <row r="35" spans="2:13">
      <c r="B35" s="3" t="s">
        <v>107</v>
      </c>
      <c r="C35" s="11" t="s">
        <v>45</v>
      </c>
      <c r="D35" s="4" t="s">
        <v>140</v>
      </c>
      <c r="E35" s="4" t="s">
        <v>142</v>
      </c>
      <c r="F35" s="31">
        <v>3.4</v>
      </c>
      <c r="G35" s="32">
        <v>12.01</v>
      </c>
      <c r="H35" s="32">
        <v>12.74</v>
      </c>
      <c r="L35" s="32">
        <v>14.95</v>
      </c>
    </row>
    <row r="36" spans="2:13">
      <c r="B36" s="3" t="s">
        <v>108</v>
      </c>
      <c r="C36" s="11" t="s">
        <v>45</v>
      </c>
      <c r="D36" s="4" t="s">
        <v>140</v>
      </c>
      <c r="E36" s="4" t="s">
        <v>142</v>
      </c>
      <c r="F36" s="31">
        <v>3.76</v>
      </c>
      <c r="G36" s="32">
        <v>37</v>
      </c>
      <c r="H36" s="32">
        <v>39.549999999999997</v>
      </c>
      <c r="L36" s="32">
        <v>28.3</v>
      </c>
    </row>
    <row r="37" spans="2:13">
      <c r="B37" s="3" t="s">
        <v>141</v>
      </c>
      <c r="C37" s="11" t="s">
        <v>45</v>
      </c>
      <c r="D37" s="4" t="s">
        <v>140</v>
      </c>
      <c r="E37" s="4"/>
      <c r="F37" s="31">
        <v>3</v>
      </c>
      <c r="G37" s="32"/>
      <c r="H37" s="32"/>
      <c r="I37" s="32">
        <v>5.98</v>
      </c>
      <c r="J37" s="32">
        <v>4.5999999999999996</v>
      </c>
      <c r="K37" s="34">
        <v>6.8</v>
      </c>
      <c r="M37" s="38">
        <v>9</v>
      </c>
    </row>
    <row r="38" spans="2:13">
      <c r="B38" s="3" t="s">
        <v>107</v>
      </c>
      <c r="C38" s="11" t="s">
        <v>45</v>
      </c>
      <c r="D38" s="4" t="s">
        <v>140</v>
      </c>
      <c r="E38" s="4"/>
      <c r="F38" s="31">
        <v>3</v>
      </c>
      <c r="G38" s="32"/>
      <c r="H38" s="32"/>
      <c r="I38" s="32">
        <v>13.2</v>
      </c>
      <c r="J38" s="32">
        <v>10.5</v>
      </c>
      <c r="K38" s="34">
        <v>15</v>
      </c>
      <c r="M38" s="38">
        <v>18</v>
      </c>
    </row>
    <row r="39" spans="2:13">
      <c r="B39" s="3" t="s">
        <v>108</v>
      </c>
      <c r="C39" s="11" t="s">
        <v>45</v>
      </c>
      <c r="D39" s="4" t="s">
        <v>140</v>
      </c>
      <c r="E39" s="4"/>
      <c r="F39" s="31">
        <v>4</v>
      </c>
      <c r="G39" s="32"/>
      <c r="H39" s="32"/>
      <c r="I39" s="32">
        <v>29.1</v>
      </c>
      <c r="J39" s="32">
        <v>22.55</v>
      </c>
      <c r="K39" s="34">
        <v>31.6</v>
      </c>
      <c r="M39" s="38">
        <v>37</v>
      </c>
    </row>
    <row r="40" spans="2:13">
      <c r="B40" s="3"/>
      <c r="C40" s="11"/>
      <c r="D40" s="4"/>
      <c r="E40" s="4"/>
      <c r="F40" s="4"/>
      <c r="G40" s="32"/>
      <c r="H40" s="32"/>
      <c r="I40" s="32"/>
    </row>
    <row r="41" spans="2:13">
      <c r="B41" s="3" t="s">
        <v>149</v>
      </c>
      <c r="C41" s="11" t="s">
        <v>150</v>
      </c>
      <c r="D41" s="4" t="s">
        <v>140</v>
      </c>
      <c r="E41" s="4" t="s">
        <v>142</v>
      </c>
      <c r="F41" s="4"/>
      <c r="G41" s="32">
        <v>12</v>
      </c>
      <c r="H41" s="32"/>
      <c r="M41" s="38">
        <v>14</v>
      </c>
    </row>
    <row r="42" spans="2:13">
      <c r="B42" s="3" t="s">
        <v>149</v>
      </c>
      <c r="C42" s="11" t="s">
        <v>150</v>
      </c>
      <c r="D42" s="4" t="s">
        <v>140</v>
      </c>
      <c r="E42" s="31">
        <v>2</v>
      </c>
      <c r="F42" s="4"/>
      <c r="G42" s="32"/>
      <c r="H42" s="32">
        <v>11.55</v>
      </c>
      <c r="I42" s="32">
        <v>16.350000000000001</v>
      </c>
      <c r="J42" s="32">
        <v>10</v>
      </c>
      <c r="K42" s="36">
        <v>18.5</v>
      </c>
      <c r="L42" s="36">
        <v>13</v>
      </c>
    </row>
    <row r="43" spans="2:13">
      <c r="B43" s="3" t="s">
        <v>151</v>
      </c>
      <c r="C43" s="11" t="s">
        <v>150</v>
      </c>
      <c r="D43" s="4" t="s">
        <v>140</v>
      </c>
      <c r="E43" s="4" t="s">
        <v>142</v>
      </c>
      <c r="F43" s="4"/>
      <c r="G43" s="32">
        <v>25</v>
      </c>
      <c r="H43" s="32"/>
      <c r="I43" s="32"/>
      <c r="J43" s="32"/>
      <c r="M43" s="38">
        <v>29</v>
      </c>
    </row>
    <row r="44" spans="2:13">
      <c r="B44" s="3" t="s">
        <v>151</v>
      </c>
      <c r="C44" s="11" t="s">
        <v>150</v>
      </c>
      <c r="D44" s="4" t="s">
        <v>140</v>
      </c>
      <c r="E44" s="31">
        <v>2</v>
      </c>
      <c r="F44" s="4"/>
      <c r="G44" s="32"/>
      <c r="H44" s="32">
        <v>19.39</v>
      </c>
      <c r="I44" s="32">
        <v>60.4</v>
      </c>
      <c r="J44" s="32">
        <v>20</v>
      </c>
      <c r="K44" s="34">
        <v>68</v>
      </c>
      <c r="L44" s="34">
        <v>25.9</v>
      </c>
    </row>
    <row r="45" spans="2:13">
      <c r="B45" s="3" t="s">
        <v>152</v>
      </c>
      <c r="C45" s="11" t="s">
        <v>150</v>
      </c>
      <c r="D45" s="4" t="s">
        <v>140</v>
      </c>
      <c r="E45" s="4" t="s">
        <v>142</v>
      </c>
      <c r="F45" s="4"/>
      <c r="G45" s="32">
        <v>17</v>
      </c>
      <c r="H45" s="32"/>
      <c r="I45" s="32"/>
      <c r="J45" s="32"/>
      <c r="M45" s="38">
        <v>26</v>
      </c>
    </row>
    <row r="46" spans="2:13">
      <c r="B46" s="3" t="s">
        <v>152</v>
      </c>
      <c r="C46" s="11" t="s">
        <v>150</v>
      </c>
      <c r="D46" s="4" t="s">
        <v>140</v>
      </c>
      <c r="E46" s="31">
        <v>2</v>
      </c>
      <c r="F46" s="4"/>
      <c r="G46" s="32"/>
      <c r="H46" s="32">
        <v>28.14</v>
      </c>
      <c r="I46" s="32">
        <v>28.5</v>
      </c>
      <c r="J46" s="32">
        <v>17</v>
      </c>
      <c r="K46" s="34">
        <v>30.85</v>
      </c>
      <c r="L46" s="34">
        <v>21.5</v>
      </c>
    </row>
  </sheetData>
  <mergeCells count="2">
    <mergeCell ref="F1:G1"/>
    <mergeCell ref="G14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30</vt:i4>
      </vt:variant>
    </vt:vector>
  </HeadingPairs>
  <TitlesOfParts>
    <vt:vector size="30" baseType="lpstr">
      <vt:lpstr>CS BORU </vt:lpstr>
      <vt:lpstr>CONTA</vt:lpstr>
      <vt:lpstr>VİNÇ</vt:lpstr>
      <vt:lpstr>PENSTOCK</vt:lpstr>
      <vt:lpstr>POMPA</vt:lpstr>
      <vt:lpstr>IZGARA</vt:lpstr>
      <vt:lpstr>DEKANTÖR</vt:lpstr>
      <vt:lpstr>KONVEYÖR</vt:lpstr>
      <vt:lpstr>ENSTÜRMAN</vt:lpstr>
      <vt:lpstr>DEBİMETRE</vt:lpstr>
      <vt:lpstr>MİKSER</vt:lpstr>
      <vt:lpstr>MONOPUMP</vt:lpstr>
      <vt:lpstr>DOZAJ </vt:lpstr>
      <vt:lpstr>FAN</vt:lpstr>
      <vt:lpstr>SS BORU</vt:lpstr>
      <vt:lpstr>İMALAT</vt:lpstr>
      <vt:lpstr>SS-FLANŞ</vt:lpstr>
      <vt:lpstr>VANA</vt:lpstr>
      <vt:lpstr>PE TANK</vt:lpstr>
      <vt:lpstr>DİFÜZÖR</vt:lpstr>
      <vt:lpstr>KOMPANSATÖR</vt:lpstr>
      <vt:lpstr>KONTEYNER</vt:lpstr>
      <vt:lpstr>RÖMORK</vt:lpstr>
      <vt:lpstr>BLOWER</vt:lpstr>
      <vt:lpstr>DİSK FİLTRE</vt:lpstr>
      <vt:lpstr>UV</vt:lpstr>
      <vt:lpstr>KEP</vt:lpstr>
      <vt:lpstr>RAKOR</vt:lpstr>
      <vt:lpstr>UPVC</vt:lpstr>
      <vt:lpstr>SS-FİTTİNGS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Black</dc:creator>
  <cp:lastModifiedBy>Silver</cp:lastModifiedBy>
  <dcterms:created xsi:type="dcterms:W3CDTF">2015-06-05T18:19:34Z</dcterms:created>
  <dcterms:modified xsi:type="dcterms:W3CDTF">2026-07-09T11:09:03Z</dcterms:modified>
</cp:coreProperties>
</file>