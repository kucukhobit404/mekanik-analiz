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Silver\Desktop\"/>
    </mc:Choice>
  </mc:AlternateContent>
  <xr:revisionPtr revIDLastSave="0" documentId="13_ncr:1_{34EF7003-A338-4268-9B21-A7DF201B3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saplama Aracı" sheetId="10" r:id="rId1"/>
    <sheet name="Paslanmaz Boru" sheetId="2" r:id="rId2"/>
    <sheet name="Paslanmaz Fittings" sheetId="7" r:id="rId3"/>
    <sheet name="Vanalar" sheetId="8" r:id="rId4"/>
  </sheets>
  <definedNames>
    <definedName name="_xlnm._FilterDatabase" localSheetId="3" hidden="1">Vanalar!$C$180:$C$207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H207" i="8" l="1" a="1"/>
  <c r="H207" i="8" s="1"/>
  <c r="H206" i="8" a="1"/>
  <c r="H206" i="8" s="1"/>
  <c r="H205" i="8" a="1"/>
  <c r="H205" i="8" s="1"/>
  <c r="H204" i="8" a="1"/>
  <c r="H204" i="8" s="1"/>
  <c r="H203" i="8" a="1"/>
  <c r="H203" i="8" s="1"/>
  <c r="H202" i="8" a="1"/>
  <c r="H202" i="8" s="1"/>
  <c r="H201" i="8" a="1"/>
  <c r="H201" i="8" s="1"/>
  <c r="H200" i="8" a="1"/>
  <c r="H200" i="8" s="1"/>
  <c r="H199" i="8" a="1"/>
  <c r="H199" i="8" s="1"/>
  <c r="H198" i="8" a="1"/>
  <c r="H198" i="8" s="1"/>
  <c r="H197" i="8" a="1"/>
  <c r="H197" i="8" s="1"/>
  <c r="H196" i="8" a="1"/>
  <c r="H196" i="8" s="1"/>
  <c r="H195" i="8" a="1"/>
  <c r="H195" i="8" s="1"/>
  <c r="H194" i="8" a="1"/>
  <c r="H194" i="8" s="1"/>
  <c r="H193" i="8" a="1"/>
  <c r="H193" i="8" s="1"/>
  <c r="H192" i="8" a="1"/>
  <c r="H192" i="8" s="1"/>
  <c r="H191" i="8" a="1"/>
  <c r="H191" i="8" s="1"/>
  <c r="H190" i="8" a="1"/>
  <c r="H190" i="8" s="1"/>
  <c r="H189" i="8" a="1"/>
  <c r="H189" i="8" s="1"/>
  <c r="H188" i="8" a="1"/>
  <c r="H188" i="8" s="1"/>
  <c r="H187" i="8" a="1"/>
  <c r="H187" i="8" s="1"/>
  <c r="H186" i="8" a="1"/>
  <c r="H186" i="8" s="1"/>
  <c r="H185" i="8" a="1"/>
  <c r="H185" i="8" s="1"/>
  <c r="H184" i="8" a="1"/>
  <c r="H184" i="8" s="1"/>
  <c r="H183" i="8" a="1"/>
  <c r="H183" i="8" s="1"/>
  <c r="H182" i="8" a="1"/>
  <c r="H182" i="8" s="1"/>
  <c r="H181" i="8" a="1"/>
  <c r="H181" i="8" s="1"/>
  <c r="H180" i="8" a="1"/>
  <c r="H180" i="8" s="1"/>
  <c r="B7" i="10"/>
  <c r="C7" i="10" a="1"/>
  <c r="C7" i="10" s="1"/>
  <c r="E10" i="10" s="1"/>
  <c r="D7" i="10" a="1"/>
  <c r="D7" i="10" s="1"/>
  <c r="B10" i="10" a="1"/>
  <c r="B10" i="10" s="1"/>
  <c r="H165" i="8" a="1"/>
  <c r="H165" i="8" s="1"/>
  <c r="H166" i="8" a="1"/>
  <c r="H166" i="8" s="1"/>
  <c r="H167" i="8" a="1"/>
  <c r="H167" i="8" s="1"/>
  <c r="H168" i="8" a="1"/>
  <c r="H168" i="8" s="1"/>
  <c r="H169" i="8" a="1"/>
  <c r="H169" i="8" s="1"/>
  <c r="H170" i="8" a="1"/>
  <c r="H170" i="8" s="1"/>
  <c r="H171" i="8" a="1"/>
  <c r="H171" i="8" s="1"/>
  <c r="H172" i="8" a="1"/>
  <c r="H172" i="8" s="1"/>
  <c r="H173" i="8" a="1"/>
  <c r="H173" i="8" s="1"/>
  <c r="H174" i="8" a="1"/>
  <c r="H174" i="8" s="1"/>
  <c r="H175" i="8" a="1"/>
  <c r="H175" i="8" s="1"/>
  <c r="H176" i="8" a="1"/>
  <c r="H176" i="8" s="1"/>
  <c r="H177" i="8" a="1"/>
  <c r="H177" i="8" s="1"/>
  <c r="H178" i="8" a="1"/>
  <c r="H178" i="8" s="1"/>
  <c r="H164" i="8" a="1"/>
  <c r="H164" i="8" s="1"/>
  <c r="H121" i="8" a="1"/>
  <c r="H121" i="8" s="1"/>
  <c r="H122" i="8" a="1"/>
  <c r="H122" i="8" s="1"/>
  <c r="H123" i="8" a="1"/>
  <c r="H123" i="8" s="1"/>
  <c r="H124" i="8" a="1"/>
  <c r="H124" i="8" s="1"/>
  <c r="H125" i="8" a="1"/>
  <c r="H125" i="8" s="1"/>
  <c r="H126" i="8" a="1"/>
  <c r="H126" i="8" s="1"/>
  <c r="H127" i="8" a="1"/>
  <c r="H127" i="8" s="1"/>
  <c r="H128" i="8" a="1"/>
  <c r="H128" i="8" s="1"/>
  <c r="H129" i="8" a="1"/>
  <c r="H129" i="8" s="1"/>
  <c r="H130" i="8" a="1"/>
  <c r="H130" i="8" s="1"/>
  <c r="H131" i="8" a="1"/>
  <c r="H131" i="8" s="1"/>
  <c r="H132" i="8" a="1"/>
  <c r="H132" i="8" s="1"/>
  <c r="H133" i="8" a="1"/>
  <c r="H133" i="8" s="1"/>
  <c r="H120" i="8" a="1"/>
  <c r="H120" i="8" s="1"/>
  <c r="H58" i="8" a="1"/>
  <c r="H58" i="8" s="1"/>
  <c r="H59" i="8" a="1"/>
  <c r="H59" i="8" s="1"/>
  <c r="H60" i="8" a="1"/>
  <c r="H60" i="8" s="1"/>
  <c r="H61" i="8" a="1"/>
  <c r="H61" i="8" s="1"/>
  <c r="H62" i="8" a="1"/>
  <c r="H62" i="8" s="1"/>
  <c r="H64" i="8" a="1"/>
  <c r="H64" i="8" s="1"/>
  <c r="H65" i="8" a="1"/>
  <c r="H65" i="8" s="1"/>
  <c r="H66" i="8" a="1"/>
  <c r="H66" i="8" s="1"/>
  <c r="H67" i="8" a="1"/>
  <c r="H67" i="8" s="1"/>
  <c r="H68" i="8" a="1"/>
  <c r="H68" i="8" s="1"/>
  <c r="H69" i="8" a="1"/>
  <c r="H69" i="8" s="1"/>
  <c r="H70" i="8" a="1"/>
  <c r="H70" i="8" s="1"/>
  <c r="H71" i="8" a="1"/>
  <c r="H71" i="8" s="1"/>
  <c r="H72" i="8" a="1"/>
  <c r="H72" i="8" s="1"/>
  <c r="H74" i="8" a="1"/>
  <c r="H74" i="8" s="1"/>
  <c r="H75" i="8" a="1"/>
  <c r="H75" i="8" s="1"/>
  <c r="H76" i="8" a="1"/>
  <c r="H76" i="8" s="1"/>
  <c r="H77" i="8" a="1"/>
  <c r="H77" i="8" s="1"/>
  <c r="H78" i="8" a="1"/>
  <c r="H78" i="8" s="1"/>
  <c r="H79" i="8" a="1"/>
  <c r="H79" i="8" s="1"/>
  <c r="H80" i="8" a="1"/>
  <c r="H80" i="8" s="1"/>
  <c r="H81" i="8" a="1"/>
  <c r="H81" i="8" s="1"/>
  <c r="H82" i="8" a="1"/>
  <c r="H82" i="8" s="1"/>
  <c r="H83" i="8" a="1"/>
  <c r="H83" i="8" s="1"/>
  <c r="H84" i="8" a="1"/>
  <c r="H84" i="8" s="1"/>
  <c r="H85" i="8" a="1"/>
  <c r="H85" i="8" s="1"/>
  <c r="H86" i="8" a="1"/>
  <c r="H86" i="8" s="1"/>
  <c r="H87" i="8" a="1"/>
  <c r="H87" i="8" s="1"/>
  <c r="H88" i="8" a="1"/>
  <c r="H88" i="8" s="1"/>
  <c r="H89" i="8" a="1"/>
  <c r="H89" i="8" s="1"/>
  <c r="H90" i="8" a="1"/>
  <c r="H90" i="8" s="1"/>
  <c r="H91" i="8" a="1"/>
  <c r="H91" i="8" s="1"/>
  <c r="H92" i="8" a="1"/>
  <c r="H92" i="8" s="1"/>
  <c r="H93" i="8" a="1"/>
  <c r="H93" i="8" s="1"/>
  <c r="H94" i="8" a="1"/>
  <c r="H94" i="8" s="1"/>
  <c r="H95" i="8" a="1"/>
  <c r="H95" i="8" s="1"/>
  <c r="H96" i="8" a="1"/>
  <c r="H96" i="8" s="1"/>
  <c r="H97" i="8" a="1"/>
  <c r="H97" i="8" s="1"/>
  <c r="H98" i="8" a="1"/>
  <c r="H98" i="8" s="1"/>
  <c r="H99" i="8" a="1"/>
  <c r="H99" i="8" s="1"/>
  <c r="H100" i="8" a="1"/>
  <c r="H100" i="8" s="1"/>
  <c r="H101" i="8" a="1"/>
  <c r="H101" i="8" s="1"/>
  <c r="H102" i="8" a="1"/>
  <c r="H102" i="8" s="1"/>
  <c r="H103" i="8" a="1"/>
  <c r="H103" i="8" s="1"/>
  <c r="H104" i="8" a="1"/>
  <c r="H104" i="8" s="1"/>
  <c r="H105" i="8" a="1"/>
  <c r="H105" i="8" s="1"/>
  <c r="H106" i="8" a="1"/>
  <c r="H106" i="8" s="1"/>
  <c r="H107" i="8" a="1"/>
  <c r="H107" i="8" s="1"/>
  <c r="H108" i="8" a="1"/>
  <c r="H108" i="8" s="1"/>
  <c r="H109" i="8" a="1"/>
  <c r="H109" i="8" s="1"/>
  <c r="H110" i="8" a="1"/>
  <c r="H110" i="8" s="1"/>
  <c r="H111" i="8" a="1"/>
  <c r="H111" i="8" s="1"/>
  <c r="H112" i="8" a="1"/>
  <c r="H112" i="8" s="1"/>
  <c r="H113" i="8" a="1"/>
  <c r="H113" i="8" s="1"/>
  <c r="H114" i="8" a="1"/>
  <c r="H114" i="8" s="1"/>
  <c r="H115" i="8" a="1"/>
  <c r="H115" i="8" s="1"/>
  <c r="H116" i="8" a="1"/>
  <c r="H116" i="8" s="1"/>
  <c r="H117" i="8" a="1"/>
  <c r="H117" i="8" s="1"/>
  <c r="H118" i="8" a="1"/>
  <c r="H118" i="8" s="1"/>
  <c r="H135" i="8" a="1"/>
  <c r="H135" i="8" s="1"/>
  <c r="H136" i="8" a="1"/>
  <c r="H136" i="8" s="1"/>
  <c r="H137" i="8" a="1"/>
  <c r="H137" i="8" s="1"/>
  <c r="H138" i="8" a="1"/>
  <c r="H138" i="8" s="1"/>
  <c r="H139" i="8" a="1"/>
  <c r="H139" i="8" s="1"/>
  <c r="H140" i="8" a="1"/>
  <c r="H140" i="8" s="1"/>
  <c r="H141" i="8" a="1"/>
  <c r="H141" i="8" s="1"/>
  <c r="H142" i="8" a="1"/>
  <c r="H142" i="8" s="1"/>
  <c r="H143" i="8" a="1"/>
  <c r="H143" i="8" s="1"/>
  <c r="H144" i="8" a="1"/>
  <c r="H144" i="8" s="1"/>
  <c r="H145" i="8" a="1"/>
  <c r="H145" i="8" s="1"/>
  <c r="H146" i="8" a="1"/>
  <c r="H146" i="8" s="1"/>
  <c r="H147" i="8" a="1"/>
  <c r="H147" i="8" s="1"/>
  <c r="H148" i="8" a="1"/>
  <c r="H148" i="8" s="1"/>
  <c r="H149" i="8" a="1"/>
  <c r="H149" i="8" s="1"/>
  <c r="H150" i="8" a="1"/>
  <c r="H150" i="8" s="1"/>
  <c r="H151" i="8" a="1"/>
  <c r="H151" i="8" s="1"/>
  <c r="H152" i="8" a="1"/>
  <c r="H152" i="8" s="1"/>
  <c r="H153" i="8" a="1"/>
  <c r="H153" i="8" s="1"/>
  <c r="H154" i="8" a="1"/>
  <c r="H154" i="8" s="1"/>
  <c r="H155" i="8" a="1"/>
  <c r="H155" i="8" s="1"/>
  <c r="H156" i="8" a="1"/>
  <c r="H156" i="8" s="1"/>
  <c r="H157" i="8" a="1"/>
  <c r="H157" i="8" s="1"/>
  <c r="H158" i="8" a="1"/>
  <c r="H158" i="8" s="1"/>
  <c r="H159" i="8" a="1"/>
  <c r="H159" i="8" s="1"/>
  <c r="H160" i="8" a="1"/>
  <c r="H160" i="8" s="1"/>
  <c r="H161" i="8" a="1"/>
  <c r="H161" i="8" s="1"/>
  <c r="H162" i="8" a="1"/>
  <c r="H162" i="8" s="1"/>
  <c r="H57" i="8" a="1"/>
  <c r="H57" i="8" s="1"/>
  <c r="H56" i="8" a="1"/>
  <c r="H56" i="8" s="1"/>
  <c r="H55" i="8" a="1"/>
  <c r="H55" i="8" s="1"/>
  <c r="H54" i="8" a="1"/>
  <c r="H54" i="8" s="1"/>
  <c r="H53" i="8" a="1"/>
  <c r="H53" i="8" s="1"/>
  <c r="H52" i="8" a="1"/>
  <c r="H52" i="8" s="1"/>
  <c r="H51" i="8" a="1"/>
  <c r="H51" i="8" s="1"/>
  <c r="H50" i="8" a="1"/>
  <c r="H50" i="8" s="1"/>
  <c r="H49" i="8" a="1"/>
  <c r="H49" i="8" s="1"/>
  <c r="H48" i="8" a="1"/>
  <c r="H48" i="8" s="1"/>
  <c r="H47" i="8" a="1"/>
  <c r="H47" i="8" s="1"/>
  <c r="H46" i="8" a="1"/>
  <c r="H46" i="8" s="1"/>
  <c r="H45" i="8" a="1"/>
  <c r="H45" i="8" s="1"/>
  <c r="H44" i="8" a="1"/>
  <c r="H44" i="8" s="1"/>
  <c r="H43" i="8" a="1"/>
  <c r="H43" i="8" s="1"/>
  <c r="H42" i="8" a="1"/>
  <c r="H42" i="8" s="1"/>
  <c r="H41" i="8" a="1"/>
  <c r="H41" i="8" s="1"/>
  <c r="H39" i="8" a="1"/>
  <c r="H39" i="8" s="1"/>
  <c r="H40" i="8" a="1"/>
  <c r="H40" i="8" s="1"/>
  <c r="H38" i="8" a="1"/>
  <c r="H38" i="8" s="1"/>
  <c r="H37" i="8" a="1"/>
  <c r="H37" i="8" s="1"/>
  <c r="H36" i="8" a="1"/>
  <c r="H36" i="8" s="1"/>
  <c r="H35" i="8" a="1"/>
  <c r="H35" i="8" s="1"/>
  <c r="H34" i="8" a="1"/>
  <c r="H34" i="8" s="1"/>
  <c r="H33" i="8" a="1"/>
  <c r="H33" i="8" s="1"/>
  <c r="D10" i="10" l="1"/>
  <c r="C10" i="10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</calcChain>
</file>

<file path=xl/sharedStrings.xml><?xml version="1.0" encoding="utf-8"?>
<sst xmlns="http://schemas.openxmlformats.org/spreadsheetml/2006/main" count="1711" uniqueCount="77">
  <si>
    <t>DN15</t>
  </si>
  <si>
    <t>DN20</t>
  </si>
  <si>
    <t>DN25</t>
  </si>
  <si>
    <t>DN32</t>
  </si>
  <si>
    <t>DN40</t>
  </si>
  <si>
    <t>DN50</t>
  </si>
  <si>
    <t>DN65</t>
  </si>
  <si>
    <t>DN80</t>
  </si>
  <si>
    <t>DN100</t>
  </si>
  <si>
    <t>DN125</t>
  </si>
  <si>
    <t>DN150</t>
  </si>
  <si>
    <t>DN200</t>
  </si>
  <si>
    <t>DN250</t>
  </si>
  <si>
    <t>DN300</t>
  </si>
  <si>
    <t>DN350</t>
  </si>
  <si>
    <t>DN400</t>
  </si>
  <si>
    <t>DN450</t>
  </si>
  <si>
    <t>DN500</t>
  </si>
  <si>
    <t>DN600</t>
  </si>
  <si>
    <t>DN700</t>
  </si>
  <si>
    <t>DN800</t>
  </si>
  <si>
    <t>DN900</t>
  </si>
  <si>
    <t>DN1000</t>
  </si>
  <si>
    <t>DN1200</t>
  </si>
  <si>
    <t>Çap</t>
  </si>
  <si>
    <t>Cins</t>
  </si>
  <si>
    <t>Boru</t>
  </si>
  <si>
    <t>Basınç Sınıfı</t>
  </si>
  <si>
    <t>PN6</t>
  </si>
  <si>
    <t>PN10</t>
  </si>
  <si>
    <t>PN16</t>
  </si>
  <si>
    <t>Et Kalınlığı(mm)</t>
  </si>
  <si>
    <t>Dış Çap(ømm)</t>
  </si>
  <si>
    <t>Ağırlık(kg/mt)</t>
  </si>
  <si>
    <t>n</t>
  </si>
  <si>
    <t>kg/ad</t>
  </si>
  <si>
    <t>M10</t>
  </si>
  <si>
    <t>M12</t>
  </si>
  <si>
    <t>M16</t>
  </si>
  <si>
    <t>M20</t>
  </si>
  <si>
    <t>Civata Çapı</t>
  </si>
  <si>
    <t>M24</t>
  </si>
  <si>
    <t>M27</t>
  </si>
  <si>
    <t>M30</t>
  </si>
  <si>
    <t>M33</t>
  </si>
  <si>
    <t>M36</t>
  </si>
  <si>
    <t>M39</t>
  </si>
  <si>
    <t>M45</t>
  </si>
  <si>
    <t>90 Dirsek</t>
  </si>
  <si>
    <t>45 Dirsek</t>
  </si>
  <si>
    <t>Flanş</t>
  </si>
  <si>
    <t>Demontaj</t>
  </si>
  <si>
    <t>Elektrot 2,5mm2</t>
  </si>
  <si>
    <t>Elektrot 3,25mm2</t>
  </si>
  <si>
    <t>Sürgülü Vana</t>
  </si>
  <si>
    <t>Bıçaklı Vana</t>
  </si>
  <si>
    <t>Cıvata Boyu</t>
  </si>
  <si>
    <t>Kalınlık (mm)</t>
  </si>
  <si>
    <t>M52</t>
  </si>
  <si>
    <t>Wafer Kelebek Vana</t>
  </si>
  <si>
    <t>Vana Kalınlığı</t>
  </si>
  <si>
    <t>Ağırlık Kollu Çekvalf</t>
  </si>
  <si>
    <t>Çalpara Çekvalf</t>
  </si>
  <si>
    <t>Lug Kelebek Vana</t>
  </si>
  <si>
    <t>Civata Ölçüsü</t>
  </si>
  <si>
    <t>Vana Uzunluğu</t>
  </si>
  <si>
    <t>Delik Sayısı</t>
  </si>
  <si>
    <t>Basınç Sınıfı(PN)</t>
  </si>
  <si>
    <t>Vana Tipi</t>
  </si>
  <si>
    <t>Vana Seçim Aracı</t>
  </si>
  <si>
    <t>Adet</t>
  </si>
  <si>
    <t>Civata Sayısı</t>
  </si>
  <si>
    <t>Somun Sayısı</t>
  </si>
  <si>
    <t>Pul Sayısı</t>
  </si>
  <si>
    <t>Conta Sayısı</t>
  </si>
  <si>
    <t>Kalınlık</t>
  </si>
  <si>
    <t>Çift Flanşlı Kelebek 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</si>
</sst>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\ &quot;ad.&quot;"/>
    <numFmt numFmtId="168" formatCode="General\ &quot;mm&quot;"/>
    <numFmt numFmtId="169" formatCode="General\ &quot;mL&quot;"/>
    <numFmt numFmtId="170" formatCode="&quot;M&quot;General"/>
  </numFmts>
  <fonts count="8">
    <font>
      <sz val="11"/>
      <color theme="1"/>
      <name val="Calibri"/>
      <family val="2"/>
      <scheme val="minor"/>
    </font>
    <font>
      <sz val="11"/>
      <color theme="1"/>
      <name val="Arial Tur"/>
      <charset val="162"/>
    </font>
    <font>
      <sz val="8"/>
      <name val="Calibri"/>
      <family val="2"/>
      <scheme val="minor"/>
    </font>
    <font>
      <b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000000"/>
      <name val="İnherit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theme="4" tint="0.39997558519241921"/>
      </bottom>
      <diagonal/>
    </border>
    <border>
      <left style="medium">
        <color rgb="FFDDDDDD"/>
      </left>
      <right style="medium">
        <color rgb="FFDDDDDD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DDDDDD"/>
      </right>
      <top style="medium">
        <color rgb="FFDDDDDD"/>
      </top>
      <bottom style="thin">
        <color theme="4" tint="0.39997558519241921"/>
      </bottom>
      <diagonal/>
    </border>
    <border>
      <left/>
      <right style="medium">
        <color rgb="FFDDDDDD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DDDDDD"/>
      </left>
      <right/>
      <top style="medium">
        <color rgb="FFDDDDDD"/>
      </top>
      <bottom style="thin">
        <color theme="4" tint="0.39997558519241921"/>
      </bottom>
      <diagonal/>
    </border>
    <border>
      <left style="medium">
        <color rgb="FFDDDDDD"/>
      </left>
      <right/>
      <top style="thin">
        <color theme="4" tint="0.39997558519241921"/>
      </top>
      <bottom style="medium">
        <color rgb="FFDDDDDD"/>
      </bottom>
      <diagonal/>
    </border>
    <border>
      <left/>
      <right/>
      <top style="thin">
        <color theme="4" tint="0.39997558519241921"/>
      </top>
      <bottom style="medium">
        <color rgb="FFDDDDDD"/>
      </bottom>
      <diagonal/>
    </border>
    <border>
      <left style="thin">
        <color theme="4"/>
      </left>
      <right style="medium">
        <color rgb="FFDDDDDD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DDDDDD"/>
      </right>
      <top/>
      <bottom style="thin">
        <color theme="4" tint="0.39997558519241921"/>
      </bottom>
      <diagonal/>
    </border>
    <border>
      <left/>
      <right style="medium">
        <color rgb="FFDDDDDD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68" fontId="3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14" xfId="0" applyFont="1" applyFill="1" applyBorder="1" applyAlignment="1" applyProtection="1">
      <alignment horizontal="center" vertical="center" wrapText="1"/>
      <protection locked="0"/>
    </xf>
    <xf numFmtId="0" fontId="3" fillId="3" borderId="16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2" borderId="19" xfId="0" applyFont="1" applyFill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24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hidden="1"/>
    </xf>
    <xf numFmtId="0" fontId="0" fillId="0" borderId="13" xfId="0" applyBorder="1" applyProtection="1">
      <protection locked="0"/>
    </xf>
    <xf numFmtId="0" fontId="3" fillId="2" borderId="27" xfId="0" applyFont="1" applyFill="1" applyBorder="1" applyAlignment="1">
      <alignment horizontal="center" vertical="center" wrapText="1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 applyProtection="1">
      <alignment horizontal="center" vertical="center"/>
      <protection locked="0"/>
    </xf>
    <xf numFmtId="0" fontId="6" fillId="6" borderId="22" xfId="0" applyFont="1" applyFill="1" applyBorder="1" applyAlignment="1" applyProtection="1">
      <alignment horizontal="center" vertical="center"/>
      <protection locked="0"/>
    </xf>
    <xf numFmtId="0" fontId="6" fillId="7" borderId="29" xfId="0" applyFont="1" applyFill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164" fontId="3" fillId="2" borderId="28" xfId="0" applyNumberFormat="1" applyFont="1" applyFill="1" applyBorder="1" applyAlignment="1">
      <alignment horizontal="center" vertical="center" wrapText="1"/>
    </xf>
    <xf numFmtId="169" fontId="3" fillId="2" borderId="28" xfId="0" applyNumberFormat="1" applyFont="1" applyFill="1" applyBorder="1" applyAlignment="1">
      <alignment horizontal="center" vertical="center" wrapText="1"/>
    </xf>
    <xf numFmtId="170" fontId="3" fillId="2" borderId="0" xfId="0" applyNumberFormat="1" applyFont="1" applyFill="1" applyAlignment="1">
      <alignment horizontal="center" vertical="center" wrapText="1"/>
    </xf>
    <xf numFmtId="164" fontId="3" fillId="2" borderId="27" xfId="0" applyNumberFormat="1" applyFont="1" applyFill="1" applyBorder="1" applyAlignment="1">
      <alignment horizontal="center" vertical="center" wrapText="1"/>
    </xf>
    <xf numFmtId="164" fontId="3" fillId="2" borderId="29" xfId="0" applyNumberFormat="1" applyFont="1" applyFill="1" applyBorder="1" applyAlignment="1">
      <alignment horizontal="center" vertical="center" wrapText="1"/>
    </xf>
    <xf numFmtId="168" fontId="3" fillId="2" borderId="28" xfId="0" applyNumberFormat="1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9" borderId="23" xfId="0" applyFont="1" applyFill="1" applyBorder="1" applyAlignment="1">
      <alignment horizontal="center"/>
    </xf>
    <xf numFmtId="0" fontId="7" fillId="9" borderId="24" xfId="0" applyFont="1" applyFill="1" applyBorder="1" applyAlignment="1">
      <alignment horizontal="center"/>
    </xf>
    <xf numFmtId="0" fontId="7" fillId="9" borderId="26" xfId="0" applyFont="1" applyFill="1" applyBorder="1" applyAlignment="1">
      <alignment horizontal="center"/>
    </xf>
  </cellXfs>
  <cellStyles count="1">
    <cellStyle name="Normal" xfId="0" builtinId="0"/>
  </cellStyles>
  <dxfs count="44">
    <dxf>
      <font>
        <b/>
        <sz val="10"/>
        <color rgb="FF000000"/>
        <name val="Arial"/>
        <family val="2"/>
        <charset val="16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right style="medium">
          <color rgb="FFDDDDDD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/>
        <vertical/>
        <horizontal/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DDDDDD"/>
        </right>
        <top/>
        <bottom style="thin">
          <color theme="4" tint="0.3999755851924192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Tur"/>
        <charset val="16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849876-46AF-43AD-9679-60FDA7E9430A}" name="Tablo7" displayName="Tablo7" ref="C4:E4" headerRowCount="0" totalsRowShown="0" headerRowDxfId="32" dataDxfId="30" headerRowBorderDxfId="31" tableBorderDxfId="29">
  <tableColumns count="3">
    <tableColumn id="1" xr3:uid="{E72288A9-3168-4B68-B42B-673A8548CAAB}" name="Sütun1" headerRowDxfId="28" dataDxfId="27"/>
    <tableColumn id="2" xr3:uid="{DFA8D1AC-BE9B-4316-A762-1B141C707B1F}" name="Sütun2" headerRowDxfId="26" dataDxfId="25"/>
    <tableColumn id="3" xr3:uid="{71AAF312-8CD2-43AF-9318-27EC6439BA93}" name="Sütun3" headerRowDxfId="24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59BE5-ABC1-4EC1-B006-AFD88098CE4B}" name="Tablo1" displayName="Tablo1" ref="A2:E281" totalsRowShown="0" headerRowDxfId="43" dataDxfId="42">
  <autoFilter ref="A2:E281" xr:uid="{C6459BE5-ABC1-4EC1-B006-AFD88098CE4B}"/>
  <tableColumns count="5">
    <tableColumn id="1" xr3:uid="{D6856204-82DF-48F0-822E-A9068EAA141A}" name="Çap" dataDxfId="41"/>
    <tableColumn id="2" xr3:uid="{50273D03-2A4D-4E8C-B9B9-57621E91C0C2}" name="Cins" dataDxfId="40"/>
    <tableColumn id="3" xr3:uid="{69611101-BC88-4808-AFAE-7CE4AA947FAF}" name="Dış Çap(ømm)" dataDxfId="39"/>
    <tableColumn id="4" xr3:uid="{6A16F468-A1C6-4F30-A0D8-B0E3DB14584C}" name="Et Kalınlığı(mm)" dataDxfId="38"/>
    <tableColumn id="5" xr3:uid="{74FA0E8E-B5B5-4654-8F52-D2D69F2C15C9}" name="Ağırlık(kg/mt)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7A9C37-F7F3-4A6C-B568-56B8C52473E2}" name="Tablo4" displayName="Tablo4" ref="F2:G281" totalsRowShown="0" headerRowDxfId="36" dataDxfId="35">
  <autoFilter ref="F2:G281" xr:uid="{E67A9C37-F7F3-4A6C-B568-56B8C52473E2}"/>
  <tableColumns count="2">
    <tableColumn id="4" xr3:uid="{FED0E40C-509E-4DB1-B33D-EE0535BFB22C}" name="Elektrot 2,5mm2" dataDxfId="34">
      <calculatedColumnFormula>_xlfn.CEILING.MATH(2*Tablo1[[#This Row],[Dış Çap(ømm)]]*3.14*Tablo1[[#This Row],[Et Kalınlığı(mm)]]*3/1000*7.85*1.4/20,1)</calculatedColumnFormula>
    </tableColumn>
    <tableColumn id="5" xr3:uid="{3D94ECB8-71C8-4645-86BF-C34E115EFD48}" name="Elektrot 3,25mm2" dataDxfId="33">
      <calculatedColumnFormula>_xlfn.CEILING.MATH(2*Tablo1[[#This Row],[Dış Çap(ømm)]]*3.14*Tablo1[[#This Row],[Et Kalınlığı(mm)]]*3/1000*7.85*1.4/35,1)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DA108-FEEB-4C23-82F0-5DDA2ADCDE83}" name="Tablo2" displayName="Tablo2" ref="A1:G73" totalsRowShown="0" headerRowDxfId="22" dataDxfId="21" tableBorderDxfId="20">
  <autoFilter ref="A1:G73" xr:uid="{D46DA108-FEEB-4C23-82F0-5DDA2ADCDE83}"/>
  <tableColumns count="7">
    <tableColumn id="1" xr3:uid="{4788A7E5-1DC7-4601-B073-5D3325355DFB}" name="Çap" dataDxfId="19"/>
    <tableColumn id="2" xr3:uid="{23651B77-407D-47C0-A2FF-AAEC3331EED8}" name="Cins" dataDxfId="18"/>
    <tableColumn id="6" xr3:uid="{435913C8-53FD-4397-B7AA-10F52881F451}" name="Basınç Sınıfı" dataDxfId="17"/>
    <tableColumn id="5" xr3:uid="{A42356EC-9CFE-4C0B-9F86-7B780C0E9FED}" name="kg/ad" dataDxfId="16"/>
    <tableColumn id="3" xr3:uid="{C700F05F-A0CD-4A9B-A6D0-AB8DB9F54982}" name="Civata Çapı" dataDxfId="15"/>
    <tableColumn id="4" xr3:uid="{5FF44DD1-EC3B-4A2A-AEBC-268F7534780A}" name="n" dataDxfId="14"/>
    <tableColumn id="7" xr3:uid="{AC777785-6ACE-4320-BF03-ADF27C938FB2}" name="Kalınlık (mm)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56870-B8F5-4C95-9CAD-9652B19E2E9D}" name="Tablo9" displayName="Tablo9" ref="A74:H118" headerRowCount="0" totalsRowShown="0" headerRowDxfId="12" dataDxfId="11" tableBorderDxfId="10">
  <tableColumns count="8">
    <tableColumn id="1" xr3:uid="{3F349E6C-73E5-48E8-B0F9-203F7D3AACA0}" name="Sütun1" dataDxfId="9"/>
    <tableColumn id="2" xr3:uid="{F5613B28-1A5D-4B01-BFA4-CFB30FA68380}" name="Sütun2" dataDxfId="8"/>
    <tableColumn id="3" xr3:uid="{D2E70BA3-DA8A-477B-9C47-EE0ADD466AA6}" name="Sütun3" dataDxfId="7"/>
    <tableColumn id="4" xr3:uid="{BF869A12-F1A8-42E0-906E-7CDA478A5E4D}" name="Sütun4" dataDxfId="6"/>
    <tableColumn id="5" xr3:uid="{CD92088E-163B-430C-B329-11B817BF95CA}" name="Sütun5" dataDxfId="5"/>
    <tableColumn id="6" xr3:uid="{6522DBCC-8145-499E-B348-2EFB523B882A}" name="Sütun6" dataDxfId="4"/>
    <tableColumn id="7" xr3:uid="{312E4A4C-108D-418E-B14C-F222E700E933}" name="Vana Kalınlığı" headerRowDxfId="3" dataDxfId="2"/>
    <tableColumn id="8" xr3:uid="{4B332C26-5442-4038-8AD5-DE63B58FEB15}" name="Sütun7" headerRowDxfId="1" dataDxfId="0">
      <calculatedColumnFormula array="1">CONCATENATE(E74,"x",(MROUND(INDEX('Paslanmaz Fittings'!$A$2:$G$73,MATCH(1,('Paslanmaz Fittings'!$A$2:$A$73=Vanalar!A74)*('Paslanmaz Fittings'!$C$2:$C$73=Vanalar!C74),0),7)*(3.14),10)),"mm",)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C767-786C-4E45-9A67-EED8E6994168}">
  <dimension ref="B1:W17"/>
  <sheetViews>
    <sheetView tabSelected="1" workbookViewId="0">
      <selection activeCell="H9" sqref="H9"/>
    </sheetView>
  </sheetViews>
  <sheetFormatPr defaultRowHeight="14.4"/>
  <cols>
    <col min="2" max="2" width="25.6640625" bestFit="1" customWidth="1"/>
    <col min="3" max="3" width="28.5546875" bestFit="1" customWidth="1"/>
    <col min="4" max="4" width="23.109375" bestFit="1" customWidth="1"/>
    <col min="5" max="5" width="21.5546875" bestFit="1" customWidth="1"/>
    <col min="8" max="8" width="8.21875" bestFit="1" customWidth="1"/>
    <col min="9" max="9" width="17.6640625" bestFit="1" customWidth="1"/>
    <col min="14" max="14" width="22.109375" customWidth="1"/>
  </cols>
  <sheetData>
    <row r="1" spans="2:23" ht="15" thickBot="1"/>
    <row r="2" spans="2:23" ht="21.6" thickBot="1">
      <c r="B2" s="64" t="s">
        <v>69</v>
      </c>
      <c r="C2" s="65"/>
      <c r="D2" s="65"/>
      <c r="E2" s="66"/>
    </row>
    <row r="3" spans="2:23" ht="16.2" thickBot="1">
      <c r="B3" s="59" t="s">
        <v>70</v>
      </c>
      <c r="C3" s="48" t="s">
        <v>24</v>
      </c>
      <c r="D3" s="48" t="s">
        <v>68</v>
      </c>
      <c r="E3" s="48" t="s">
        <v>67</v>
      </c>
    </row>
    <row r="4" spans="2:23" ht="15" thickBot="1">
      <c r="B4" s="47">
        <v>1</v>
      </c>
      <c r="C4" s="51" t="s">
        <v>13</v>
      </c>
      <c r="D4" s="46" t="s">
        <v>54</v>
      </c>
      <c r="E4" s="46" t="s">
        <v>29</v>
      </c>
      <c r="T4" t="s">
        <v>24</v>
      </c>
      <c r="U4" t="s">
        <v>75</v>
      </c>
      <c r="W4" s="62"/>
    </row>
    <row r="5" spans="2:23" ht="15" thickBot="1">
      <c r="B5" s="39"/>
      <c r="C5" s="40"/>
      <c r="D5" s="40"/>
      <c r="E5" s="41"/>
      <c r="L5" s="42">
        <v>1</v>
      </c>
      <c r="M5" s="42" t="s">
        <v>4</v>
      </c>
      <c r="N5" s="42" t="s">
        <v>51</v>
      </c>
      <c r="O5" s="42" t="s">
        <v>28</v>
      </c>
      <c r="R5" s="54">
        <v>4</v>
      </c>
      <c r="T5" s="60" t="s">
        <v>0</v>
      </c>
      <c r="U5">
        <v>1.5</v>
      </c>
      <c r="W5" s="63">
        <v>21.3</v>
      </c>
    </row>
    <row r="6" spans="2:23" ht="16.2" thickBot="1">
      <c r="B6" s="50" t="s">
        <v>74</v>
      </c>
      <c r="C6" s="50" t="s">
        <v>66</v>
      </c>
      <c r="D6" s="50" t="s">
        <v>65</v>
      </c>
      <c r="E6" s="50"/>
      <c r="L6" s="42">
        <v>2</v>
      </c>
      <c r="M6" s="42" t="s">
        <v>5</v>
      </c>
      <c r="N6" s="42" t="s">
        <v>54</v>
      </c>
      <c r="O6" s="42" t="s">
        <v>29</v>
      </c>
      <c r="R6" s="54">
        <v>6</v>
      </c>
      <c r="T6" s="61" t="s">
        <v>0</v>
      </c>
      <c r="U6">
        <v>1.6</v>
      </c>
      <c r="W6" s="62">
        <v>25.4</v>
      </c>
    </row>
    <row r="7" spans="2:23" ht="15" thickBot="1">
      <c r="B7" s="52">
        <f>B4*2</f>
        <v>2</v>
      </c>
      <c r="C7" s="52">
        <f t="array" ref="C7">INDEX(Vanalar!$A$1:$H$178,MATCH(1,(C4=Vanalar!$A:$A)*(D4=Vanalar!$B:$B)*(E4=Vanalar!$C:$C),0),6)</f>
        <v>12</v>
      </c>
      <c r="D7" s="57">
        <f t="array" ref="D7">INDEX(Vanalar!$A$1:$H$178,MATCH(1,($C$4=Vanalar!$A:$A)*($D$4=Vanalar!$B:$B)*($E$4=Vanalar!$C:$C),0),7)</f>
        <v>270</v>
      </c>
      <c r="E7" s="53"/>
      <c r="L7" s="42">
        <v>3</v>
      </c>
      <c r="M7" s="42" t="s">
        <v>6</v>
      </c>
      <c r="N7" s="42" t="s">
        <v>55</v>
      </c>
      <c r="O7" s="42" t="s">
        <v>30</v>
      </c>
      <c r="R7" s="54">
        <v>8</v>
      </c>
      <c r="T7" s="60" t="s">
        <v>1</v>
      </c>
      <c r="U7">
        <v>2</v>
      </c>
      <c r="W7" s="63">
        <v>33.700000000000003</v>
      </c>
    </row>
    <row r="8" spans="2:23" ht="15" thickBot="1">
      <c r="B8" s="36"/>
      <c r="C8" s="37"/>
      <c r="D8" s="37"/>
      <c r="E8" s="38"/>
      <c r="L8" s="42">
        <v>4</v>
      </c>
      <c r="M8" s="42" t="s">
        <v>7</v>
      </c>
      <c r="N8" s="42" t="s">
        <v>59</v>
      </c>
      <c r="O8" s="42"/>
      <c r="R8" s="54">
        <v>10</v>
      </c>
      <c r="T8" s="61" t="s">
        <v>2</v>
      </c>
      <c r="U8">
        <v>2.5</v>
      </c>
      <c r="W8" s="63">
        <v>42.4</v>
      </c>
    </row>
    <row r="9" spans="2:23" ht="16.2" thickBot="1">
      <c r="B9" s="49" t="s">
        <v>64</v>
      </c>
      <c r="C9" s="58" t="s">
        <v>71</v>
      </c>
      <c r="D9" s="58" t="s">
        <v>72</v>
      </c>
      <c r="E9" s="58" t="s">
        <v>73</v>
      </c>
      <c r="L9" s="42">
        <v>5</v>
      </c>
      <c r="M9" s="42" t="s">
        <v>8</v>
      </c>
      <c r="N9" s="42" t="s">
        <v>61</v>
      </c>
      <c r="O9" s="42"/>
      <c r="R9" s="54">
        <v>12</v>
      </c>
      <c r="T9" s="61" t="s">
        <v>3</v>
      </c>
      <c r="U9">
        <v>2.6</v>
      </c>
      <c r="W9" s="62">
        <v>48.3</v>
      </c>
    </row>
    <row r="10" spans="2:23" ht="15" thickBot="1">
      <c r="B10" s="45" t="str">
        <f t="array" ref="B10">INDEX(Vanalar!A1:H178,MATCH(1,(C4=Vanalar!A:A)*(D4=Vanalar!B:B)*(E4=Vanalar!C:C),0),8)</f>
        <v>M20x120mm</v>
      </c>
      <c r="C10" s="55">
        <f>IF(D4=N5,"0",C7*2*B4)</f>
        <v>24</v>
      </c>
      <c r="D10" s="55">
        <f>IF(OR(D4=N7,D4=N11,D4=N5),C7*0,C7*2)*B4</f>
        <v>24</v>
      </c>
      <c r="E10" s="56">
        <f>IF(OR(D4=N7,D4=N11,D4=N5),C7*2,C7*2)*B4</f>
        <v>24</v>
      </c>
      <c r="L10" s="42">
        <v>6</v>
      </c>
      <c r="M10" s="42" t="s">
        <v>9</v>
      </c>
      <c r="N10" s="42" t="s">
        <v>62</v>
      </c>
      <c r="O10" s="42"/>
      <c r="R10" s="54">
        <v>14</v>
      </c>
      <c r="T10" s="60" t="s">
        <v>4</v>
      </c>
      <c r="U10">
        <v>1.8</v>
      </c>
      <c r="W10" s="62">
        <v>60.3</v>
      </c>
    </row>
    <row r="11" spans="2:23" ht="15" thickBot="1">
      <c r="L11" s="42">
        <v>7</v>
      </c>
      <c r="M11" s="42" t="s">
        <v>10</v>
      </c>
      <c r="N11" s="42" t="s">
        <v>63</v>
      </c>
      <c r="O11" s="42"/>
      <c r="R11" s="54">
        <v>16</v>
      </c>
      <c r="T11" s="60" t="s">
        <v>5</v>
      </c>
      <c r="U11">
        <v>3</v>
      </c>
      <c r="W11" s="62">
        <v>76.099999999999994</v>
      </c>
    </row>
    <row r="12" spans="2:23" ht="15" thickBot="1">
      <c r="L12" s="42">
        <v>8</v>
      </c>
      <c r="M12" s="42" t="s">
        <v>11</v>
      </c>
      <c r="N12" s="42"/>
      <c r="O12" s="42"/>
      <c r="R12" s="54">
        <v>18</v>
      </c>
      <c r="T12" s="60" t="s">
        <v>6</v>
      </c>
      <c r="U12">
        <v>2.7</v>
      </c>
      <c r="W12" s="62">
        <v>88.9</v>
      </c>
    </row>
    <row r="13" spans="2:23" ht="15" thickBot="1">
      <c r="L13" s="42">
        <v>14</v>
      </c>
      <c r="M13" s="42" t="s">
        <v>17</v>
      </c>
      <c r="N13" s="42"/>
      <c r="O13" s="42"/>
      <c r="R13" s="54">
        <v>33</v>
      </c>
      <c r="T13" s="60" t="s">
        <v>12</v>
      </c>
      <c r="U13">
        <v>7.92</v>
      </c>
      <c r="W13" s="62">
        <v>323.89999999999998</v>
      </c>
    </row>
    <row r="14" spans="2:23" ht="15" thickBot="1">
      <c r="L14" s="42">
        <v>15</v>
      </c>
      <c r="M14" s="42" t="s">
        <v>18</v>
      </c>
      <c r="N14" s="42"/>
      <c r="O14" s="42"/>
      <c r="R14" s="54">
        <v>36</v>
      </c>
      <c r="T14" s="60" t="s">
        <v>13</v>
      </c>
      <c r="U14">
        <v>9.52</v>
      </c>
      <c r="W14" s="62">
        <v>355.6</v>
      </c>
    </row>
    <row r="15" spans="2:23" ht="15" thickBot="1">
      <c r="L15" s="42">
        <v>25</v>
      </c>
    </row>
    <row r="16" spans="2:23" ht="15" thickBot="1">
      <c r="L16" s="42">
        <v>26</v>
      </c>
    </row>
    <row r="17" spans="12:12" ht="15" thickBot="1">
      <c r="L17" s="42">
        <v>50</v>
      </c>
    </row>
  </sheetData>
  <mergeCells count="1">
    <mergeCell ref="B2:E2"/>
  </mergeCells>
  <dataValidations count="4">
    <dataValidation type="list" allowBlank="1" showInputMessage="1" showErrorMessage="1" sqref="E4" xr:uid="{23039EE7-D501-4BBA-9EE3-9D7525C3B6D3}">
      <formula1>$O$5:$O$7</formula1>
    </dataValidation>
    <dataValidation type="list" allowBlank="1" showInputMessage="1" showErrorMessage="1" sqref="D4" xr:uid="{59479AFC-74C4-4BEE-8F74-1E55470CD7FF}">
      <formula1>$N$5:$N$11</formula1>
    </dataValidation>
    <dataValidation type="list" allowBlank="1" showInputMessage="1" showErrorMessage="1" sqref="C4" xr:uid="{ECD441D1-8F00-4E5E-ABA0-34C5AEA40779}">
      <formula1>$M$5:$M$14</formula1>
    </dataValidation>
    <dataValidation type="list" allowBlank="1" showInputMessage="1" showErrorMessage="1" sqref="B4" xr:uid="{D1A6F02D-71C0-42E7-A1F0-A1F9106494BC}">
      <formula1>$L$5:$L$17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6249-2A2D-43FF-99EE-FF6D86BBC543}">
  <sheetPr codeName="Sayfa3"/>
  <dimension ref="A2:G281"/>
  <sheetViews>
    <sheetView zoomScale="85" zoomScaleNormal="85" workbookViewId="0">
      <selection activeCell="K12" sqref="K12"/>
    </sheetView>
  </sheetViews>
  <sheetFormatPr defaultRowHeight="14.4"/>
  <cols>
    <col min="1" max="1" width="11.109375" style="2" customWidth="1"/>
    <col min="2" max="2" width="8.88671875" style="2" bestFit="1" customWidth="1"/>
    <col min="3" max="3" width="17.33203125" style="2" bestFit="1" customWidth="1"/>
    <col min="4" max="4" width="18.77734375" style="2" bestFit="1" customWidth="1"/>
    <col min="5" max="5" width="17.21875" style="2" bestFit="1" customWidth="1"/>
    <col min="6" max="6" width="23.21875" customWidth="1"/>
    <col min="7" max="7" width="19.109375" customWidth="1"/>
  </cols>
  <sheetData>
    <row r="2" spans="1:7">
      <c r="A2" s="2" t="s">
        <v>24</v>
      </c>
      <c r="B2" s="2" t="s">
        <v>25</v>
      </c>
      <c r="C2" s="2" t="s">
        <v>32</v>
      </c>
      <c r="D2" s="2" t="s">
        <v>31</v>
      </c>
      <c r="E2" s="2" t="s">
        <v>33</v>
      </c>
      <c r="F2" s="2" t="s">
        <v>52</v>
      </c>
      <c r="G2" s="2" t="s">
        <v>53</v>
      </c>
    </row>
    <row r="3" spans="1:7">
      <c r="A3" s="1" t="s">
        <v>0</v>
      </c>
      <c r="B3" s="2" t="s">
        <v>26</v>
      </c>
      <c r="C3" s="2">
        <v>21.3</v>
      </c>
      <c r="D3" s="2">
        <v>1.5</v>
      </c>
      <c r="E3" s="8">
        <v>0.74399999999999999</v>
      </c>
      <c r="F3" s="8">
        <f>_xlfn.CEILING.MATH(2*Tablo1[[#This Row],[Dış Çap(ømm)]]*3.14*Tablo1[[#This Row],[Et Kalınlığı(mm)]]*3/1000*7.85*1.4/20,1)</f>
        <v>1</v>
      </c>
      <c r="G3" s="8">
        <f>_xlfn.CEILING.MATH(2*Tablo1[[#This Row],[Dış Çap(ømm)]]*3.14*Tablo1[[#This Row],[Et Kalınlığı(mm)]]*3/1000*7.85*1.4/35,1)</f>
        <v>1</v>
      </c>
    </row>
    <row r="4" spans="1:7">
      <c r="A4" s="1" t="s">
        <v>0</v>
      </c>
      <c r="B4" s="2" t="s">
        <v>26</v>
      </c>
      <c r="C4" s="2">
        <v>21.3</v>
      </c>
      <c r="D4" s="2">
        <v>1.6</v>
      </c>
      <c r="E4" s="8">
        <v>0.78900000000000003</v>
      </c>
      <c r="F4" s="8">
        <f>_xlfn.CEILING.MATH(2*Tablo1[[#This Row],[Dış Çap(ømm)]]*3.14*Tablo1[[#This Row],[Et Kalınlığı(mm)]]*3/1000*7.85*1.4/20,1)</f>
        <v>1</v>
      </c>
      <c r="G4" s="8">
        <f>_xlfn.CEILING.MATH(2*Tablo1[[#This Row],[Dış Çap(ømm)]]*3.14*Tablo1[[#This Row],[Et Kalınlığı(mm)]]*3/1000*7.85*1.4/35,1)</f>
        <v>1</v>
      </c>
    </row>
    <row r="5" spans="1:7">
      <c r="A5" s="1" t="s">
        <v>0</v>
      </c>
      <c r="B5" s="2" t="s">
        <v>26</v>
      </c>
      <c r="C5" s="2">
        <v>21.3</v>
      </c>
      <c r="D5" s="2">
        <v>2</v>
      </c>
      <c r="E5" s="8">
        <v>0.96699999999999997</v>
      </c>
      <c r="F5" s="8">
        <f>_xlfn.CEILING.MATH(2*Tablo1[[#This Row],[Dış Çap(ømm)]]*3.14*Tablo1[[#This Row],[Et Kalınlığı(mm)]]*3/1000*7.85*1.4/20,1)</f>
        <v>1</v>
      </c>
      <c r="G5" s="8">
        <f>_xlfn.CEILING.MATH(2*Tablo1[[#This Row],[Dış Çap(ømm)]]*3.14*Tablo1[[#This Row],[Et Kalınlığı(mm)]]*3/1000*7.85*1.4/35,1)</f>
        <v>1</v>
      </c>
    </row>
    <row r="6" spans="1:7">
      <c r="A6" s="1" t="s">
        <v>0</v>
      </c>
      <c r="B6" s="2" t="s">
        <v>26</v>
      </c>
      <c r="C6" s="2">
        <v>21.3</v>
      </c>
      <c r="D6" s="2">
        <v>2.5</v>
      </c>
      <c r="E6" s="8">
        <v>1.177</v>
      </c>
      <c r="F6" s="8">
        <f>_xlfn.CEILING.MATH(2*Tablo1[[#This Row],[Dış Çap(ømm)]]*3.14*Tablo1[[#This Row],[Et Kalınlığı(mm)]]*3/1000*7.85*1.4/20,1)</f>
        <v>1</v>
      </c>
      <c r="G6" s="8">
        <f>_xlfn.CEILING.MATH(2*Tablo1[[#This Row],[Dış Çap(ømm)]]*3.14*Tablo1[[#This Row],[Et Kalınlığı(mm)]]*3/1000*7.85*1.4/35,1)</f>
        <v>1</v>
      </c>
    </row>
    <row r="7" spans="1:7">
      <c r="A7" s="1" t="s">
        <v>0</v>
      </c>
      <c r="B7" s="2" t="s">
        <v>26</v>
      </c>
      <c r="C7" s="2">
        <v>21.3</v>
      </c>
      <c r="D7" s="2">
        <v>2.5</v>
      </c>
      <c r="E7" s="8">
        <v>1.2170000000000001</v>
      </c>
      <c r="F7" s="8">
        <f>_xlfn.CEILING.MATH(2*Tablo1[[#This Row],[Dış Çap(ømm)]]*3.14*Tablo1[[#This Row],[Et Kalınlığı(mm)]]*3/1000*7.85*1.4/20,1)</f>
        <v>1</v>
      </c>
      <c r="G7" s="8">
        <f>_xlfn.CEILING.MATH(2*Tablo1[[#This Row],[Dış Çap(ømm)]]*3.14*Tablo1[[#This Row],[Et Kalınlığı(mm)]]*3/1000*7.85*1.4/35,1)</f>
        <v>1</v>
      </c>
    </row>
    <row r="8" spans="1:7">
      <c r="A8" s="1" t="s">
        <v>0</v>
      </c>
      <c r="B8" s="2" t="s">
        <v>26</v>
      </c>
      <c r="C8" s="2">
        <v>21.3</v>
      </c>
      <c r="D8" s="2">
        <v>2.6</v>
      </c>
      <c r="E8" s="8">
        <v>1.375</v>
      </c>
      <c r="F8" s="8">
        <f>_xlfn.CEILING.MATH(2*Tablo1[[#This Row],[Dış Çap(ømm)]]*3.14*Tablo1[[#This Row],[Et Kalınlığı(mm)]]*3/1000*7.85*1.4/20,1)</f>
        <v>1</v>
      </c>
      <c r="G8" s="8">
        <f>_xlfn.CEILING.MATH(2*Tablo1[[#This Row],[Dış Çap(ømm)]]*3.14*Tablo1[[#This Row],[Et Kalınlığı(mm)]]*3/1000*7.85*1.4/35,1)</f>
        <v>1</v>
      </c>
    </row>
    <row r="9" spans="1:7">
      <c r="A9" s="1" t="s">
        <v>1</v>
      </c>
      <c r="B9" s="2" t="s">
        <v>26</v>
      </c>
      <c r="C9" s="2">
        <v>25.4</v>
      </c>
      <c r="D9" s="2">
        <v>1.5</v>
      </c>
      <c r="E9" s="8">
        <v>0.89800000000000002</v>
      </c>
      <c r="F9" s="8">
        <f>_xlfn.CEILING.MATH(2*Tablo1[[#This Row],[Dış Çap(ømm)]]*3.14*Tablo1[[#This Row],[Et Kalınlığı(mm)]]*3/1000*7.85*1.4/20,1)</f>
        <v>1</v>
      </c>
      <c r="G9" s="8">
        <f>_xlfn.CEILING.MATH(2*Tablo1[[#This Row],[Dış Çap(ømm)]]*3.14*Tablo1[[#This Row],[Et Kalınlığı(mm)]]*3/1000*7.85*1.4/35,1)</f>
        <v>1</v>
      </c>
    </row>
    <row r="10" spans="1:7">
      <c r="A10" s="1" t="s">
        <v>1</v>
      </c>
      <c r="B10" s="2" t="s">
        <v>26</v>
      </c>
      <c r="C10" s="2">
        <v>25.4</v>
      </c>
      <c r="D10" s="2">
        <v>1.6</v>
      </c>
      <c r="E10" s="8">
        <v>0.98099999999999998</v>
      </c>
      <c r="F10" s="8">
        <f>_xlfn.CEILING.MATH(2*Tablo1[[#This Row],[Dış Çap(ømm)]]*3.14*Tablo1[[#This Row],[Et Kalınlığı(mm)]]*3/1000*7.85*1.4/20,1)</f>
        <v>1</v>
      </c>
      <c r="G10" s="8">
        <f>_xlfn.CEILING.MATH(2*Tablo1[[#This Row],[Dış Çap(ømm)]]*3.14*Tablo1[[#This Row],[Et Kalınlığı(mm)]]*3/1000*7.85*1.4/35,1)</f>
        <v>1</v>
      </c>
    </row>
    <row r="11" spans="1:7">
      <c r="A11" s="1" t="s">
        <v>1</v>
      </c>
      <c r="B11" s="2" t="s">
        <v>26</v>
      </c>
      <c r="C11" s="2">
        <v>25.4</v>
      </c>
      <c r="D11" s="2">
        <v>1.8</v>
      </c>
      <c r="E11" s="8">
        <v>0.995</v>
      </c>
      <c r="F11" s="8">
        <f>_xlfn.CEILING.MATH(2*Tablo1[[#This Row],[Dış Çap(ømm)]]*3.14*Tablo1[[#This Row],[Et Kalınlığı(mm)]]*3/1000*7.85*1.4/20,1)</f>
        <v>1</v>
      </c>
      <c r="G11" s="8">
        <f>_xlfn.CEILING.MATH(2*Tablo1[[#This Row],[Dış Çap(ømm)]]*3.14*Tablo1[[#This Row],[Et Kalınlığı(mm)]]*3/1000*7.85*1.4/35,1)</f>
        <v>1</v>
      </c>
    </row>
    <row r="12" spans="1:7">
      <c r="A12" s="1" t="s">
        <v>1</v>
      </c>
      <c r="B12" s="2" t="s">
        <v>26</v>
      </c>
      <c r="C12" s="2">
        <v>25.4</v>
      </c>
      <c r="D12" s="2">
        <v>2</v>
      </c>
      <c r="E12" s="8">
        <v>1.1719999999999999</v>
      </c>
      <c r="F12" s="8">
        <f>_xlfn.CEILING.MATH(2*Tablo1[[#This Row],[Dış Çap(ømm)]]*3.14*Tablo1[[#This Row],[Et Kalınlığı(mm)]]*3/1000*7.85*1.4/20,1)</f>
        <v>1</v>
      </c>
      <c r="G12" s="8">
        <f>_xlfn.CEILING.MATH(2*Tablo1[[#This Row],[Dış Çap(ømm)]]*3.14*Tablo1[[#This Row],[Et Kalınlığı(mm)]]*3/1000*7.85*1.4/35,1)</f>
        <v>1</v>
      </c>
    </row>
    <row r="13" spans="1:7">
      <c r="A13" s="1" t="s">
        <v>1</v>
      </c>
      <c r="B13" s="2" t="s">
        <v>26</v>
      </c>
      <c r="C13" s="2">
        <v>25.4</v>
      </c>
      <c r="D13" s="2">
        <v>3</v>
      </c>
      <c r="E13" s="8">
        <v>1.6830000000000001</v>
      </c>
      <c r="F13" s="8">
        <f>_xlfn.CEILING.MATH(2*Tablo1[[#This Row],[Dış Çap(ømm)]]*3.14*Tablo1[[#This Row],[Et Kalınlığı(mm)]]*3/1000*7.85*1.4/20,1)</f>
        <v>1</v>
      </c>
      <c r="G13" s="8">
        <f>_xlfn.CEILING.MATH(2*Tablo1[[#This Row],[Dış Çap(ømm)]]*3.14*Tablo1[[#This Row],[Et Kalınlığı(mm)]]*3/1000*7.85*1.4/35,1)</f>
        <v>1</v>
      </c>
    </row>
    <row r="14" spans="1:7">
      <c r="A14" s="1" t="s">
        <v>2</v>
      </c>
      <c r="B14" s="2" t="s">
        <v>26</v>
      </c>
      <c r="C14" s="2">
        <v>33.700000000000003</v>
      </c>
      <c r="D14" s="2">
        <v>1.5</v>
      </c>
      <c r="E14" s="8">
        <v>1.2090000000000001</v>
      </c>
      <c r="F14" s="8">
        <f>_xlfn.CEILING.MATH(2*Tablo1[[#This Row],[Dış Çap(ømm)]]*3.14*Tablo1[[#This Row],[Et Kalınlığı(mm)]]*3/1000*7.85*1.4/20,1)</f>
        <v>1</v>
      </c>
      <c r="G14" s="8">
        <f>_xlfn.CEILING.MATH(2*Tablo1[[#This Row],[Dış Çap(ømm)]]*3.14*Tablo1[[#This Row],[Et Kalınlığı(mm)]]*3/1000*7.85*1.4/35,1)</f>
        <v>1</v>
      </c>
    </row>
    <row r="15" spans="1:7">
      <c r="A15" s="1" t="s">
        <v>2</v>
      </c>
      <c r="B15" s="2" t="s">
        <v>26</v>
      </c>
      <c r="C15" s="2">
        <v>33.700000000000003</v>
      </c>
      <c r="D15" s="2">
        <v>2</v>
      </c>
      <c r="E15" s="8">
        <v>1.5880000000000001</v>
      </c>
      <c r="F15" s="8">
        <f>_xlfn.CEILING.MATH(2*Tablo1[[#This Row],[Dış Çap(ømm)]]*3.14*Tablo1[[#This Row],[Et Kalınlığı(mm)]]*3/1000*7.85*1.4/20,1)</f>
        <v>1</v>
      </c>
      <c r="G15" s="8">
        <f>_xlfn.CEILING.MATH(2*Tablo1[[#This Row],[Dış Çap(ømm)]]*3.14*Tablo1[[#This Row],[Et Kalınlığı(mm)]]*3/1000*7.85*1.4/35,1)</f>
        <v>1</v>
      </c>
    </row>
    <row r="16" spans="1:7">
      <c r="A16" s="1" t="s">
        <v>2</v>
      </c>
      <c r="B16" s="2" t="s">
        <v>26</v>
      </c>
      <c r="C16" s="2">
        <v>33.700000000000003</v>
      </c>
      <c r="D16" s="2">
        <v>2.6</v>
      </c>
      <c r="E16" s="8">
        <v>2.0249999999999999</v>
      </c>
      <c r="F16" s="8">
        <f>_xlfn.CEILING.MATH(2*Tablo1[[#This Row],[Dış Çap(ømm)]]*3.14*Tablo1[[#This Row],[Et Kalınlığı(mm)]]*3/1000*7.85*1.4/20,1)</f>
        <v>1</v>
      </c>
      <c r="G16" s="8">
        <f>_xlfn.CEILING.MATH(2*Tablo1[[#This Row],[Dış Çap(ømm)]]*3.14*Tablo1[[#This Row],[Et Kalınlığı(mm)]]*3/1000*7.85*1.4/35,1)</f>
        <v>1</v>
      </c>
    </row>
    <row r="17" spans="1:7">
      <c r="A17" s="1" t="s">
        <v>2</v>
      </c>
      <c r="B17" s="2" t="s">
        <v>26</v>
      </c>
      <c r="C17" s="2">
        <v>33.700000000000003</v>
      </c>
      <c r="D17" s="2">
        <v>2.7</v>
      </c>
      <c r="E17" s="8">
        <v>2.085</v>
      </c>
      <c r="F17" s="8">
        <f>_xlfn.CEILING.MATH(2*Tablo1[[#This Row],[Dış Çap(ømm)]]*3.14*Tablo1[[#This Row],[Et Kalınlığı(mm)]]*3/1000*7.85*1.4/20,1)</f>
        <v>1</v>
      </c>
      <c r="G17" s="8">
        <f>_xlfn.CEILING.MATH(2*Tablo1[[#This Row],[Dış Çap(ømm)]]*3.14*Tablo1[[#This Row],[Et Kalınlığı(mm)]]*3/1000*7.85*1.4/35,1)</f>
        <v>1</v>
      </c>
    </row>
    <row r="18" spans="1:7">
      <c r="A18" s="1" t="s">
        <v>2</v>
      </c>
      <c r="B18" s="2" t="s">
        <v>26</v>
      </c>
      <c r="C18" s="2">
        <v>33.700000000000003</v>
      </c>
      <c r="D18" s="2">
        <v>3</v>
      </c>
      <c r="E18" s="8">
        <v>2.306</v>
      </c>
      <c r="F18" s="8">
        <f>_xlfn.CEILING.MATH(2*Tablo1[[#This Row],[Dış Çap(ømm)]]*3.14*Tablo1[[#This Row],[Et Kalınlığı(mm)]]*3/1000*7.85*1.4/20,1)</f>
        <v>2</v>
      </c>
      <c r="G18" s="8">
        <f>_xlfn.CEILING.MATH(2*Tablo1[[#This Row],[Dış Çap(ømm)]]*3.14*Tablo1[[#This Row],[Et Kalınlığı(mm)]]*3/1000*7.85*1.4/35,1)</f>
        <v>1</v>
      </c>
    </row>
    <row r="19" spans="1:7">
      <c r="A19" s="1" t="s">
        <v>2</v>
      </c>
      <c r="B19" s="2" t="s">
        <v>26</v>
      </c>
      <c r="C19" s="2">
        <v>33.700000000000003</v>
      </c>
      <c r="D19" s="2">
        <v>3.38</v>
      </c>
      <c r="E19" s="8">
        <v>2.4359999999999999</v>
      </c>
      <c r="F19" s="8">
        <f>_xlfn.CEILING.MATH(2*Tablo1[[#This Row],[Dış Çap(ømm)]]*3.14*Tablo1[[#This Row],[Et Kalınlığı(mm)]]*3/1000*7.85*1.4/20,1)</f>
        <v>2</v>
      </c>
      <c r="G19" s="8">
        <f>_xlfn.CEILING.MATH(2*Tablo1[[#This Row],[Dış Çap(ømm)]]*3.14*Tablo1[[#This Row],[Et Kalınlığı(mm)]]*3/1000*7.85*1.4/35,1)</f>
        <v>1</v>
      </c>
    </row>
    <row r="20" spans="1:7" ht="15" customHeight="1">
      <c r="A20" s="1" t="s">
        <v>3</v>
      </c>
      <c r="B20" s="2" t="s">
        <v>26</v>
      </c>
      <c r="C20" s="2">
        <v>42.4</v>
      </c>
      <c r="D20" s="2">
        <v>1.5</v>
      </c>
      <c r="E20" s="8">
        <v>1.536</v>
      </c>
      <c r="F20" s="8">
        <f>_xlfn.CEILING.MATH(2*Tablo1[[#This Row],[Dış Çap(ømm)]]*3.14*Tablo1[[#This Row],[Et Kalınlığı(mm)]]*3/1000*7.85*1.4/20,1)</f>
        <v>1</v>
      </c>
      <c r="G20" s="8">
        <f>_xlfn.CEILING.MATH(2*Tablo1[[#This Row],[Dış Çap(ømm)]]*3.14*Tablo1[[#This Row],[Et Kalınlığı(mm)]]*3/1000*7.85*1.4/35,1)</f>
        <v>1</v>
      </c>
    </row>
    <row r="21" spans="1:7" ht="15" customHeight="1">
      <c r="A21" s="1" t="s">
        <v>3</v>
      </c>
      <c r="B21" s="2" t="s">
        <v>26</v>
      </c>
      <c r="C21" s="2">
        <v>42.4</v>
      </c>
      <c r="D21" s="2">
        <v>2</v>
      </c>
      <c r="E21" s="8">
        <v>2.0230000000000001</v>
      </c>
      <c r="F21" s="8">
        <f>_xlfn.CEILING.MATH(2*Tablo1[[#This Row],[Dış Çap(ømm)]]*3.14*Tablo1[[#This Row],[Et Kalınlığı(mm)]]*3/1000*7.85*1.4/20,1)</f>
        <v>1</v>
      </c>
      <c r="G21" s="8">
        <f>_xlfn.CEILING.MATH(2*Tablo1[[#This Row],[Dış Çap(ømm)]]*3.14*Tablo1[[#This Row],[Et Kalınlığı(mm)]]*3/1000*7.85*1.4/35,1)</f>
        <v>1</v>
      </c>
    </row>
    <row r="22" spans="1:7" ht="15" customHeight="1">
      <c r="A22" s="1" t="s">
        <v>3</v>
      </c>
      <c r="B22" s="2" t="s">
        <v>26</v>
      </c>
      <c r="C22" s="2">
        <v>42.4</v>
      </c>
      <c r="D22" s="2">
        <v>2.6</v>
      </c>
      <c r="E22" s="8">
        <v>2.5910000000000002</v>
      </c>
      <c r="F22" s="8">
        <f>_xlfn.CEILING.MATH(2*Tablo1[[#This Row],[Dış Çap(ømm)]]*3.14*Tablo1[[#This Row],[Et Kalınlığı(mm)]]*3/1000*7.85*1.4/20,1)</f>
        <v>2</v>
      </c>
      <c r="G22" s="8">
        <f>_xlfn.CEILING.MATH(2*Tablo1[[#This Row],[Dış Çap(ømm)]]*3.14*Tablo1[[#This Row],[Et Kalınlığı(mm)]]*3/1000*7.85*1.4/35,1)</f>
        <v>1</v>
      </c>
    </row>
    <row r="23" spans="1:7" ht="15" customHeight="1">
      <c r="A23" s="1" t="s">
        <v>3</v>
      </c>
      <c r="B23" s="2" t="s">
        <v>26</v>
      </c>
      <c r="C23" s="2">
        <v>42.4</v>
      </c>
      <c r="D23" s="2">
        <v>3</v>
      </c>
      <c r="E23" s="8">
        <v>2.96</v>
      </c>
      <c r="F23" s="8">
        <f>_xlfn.CEILING.MATH(2*Tablo1[[#This Row],[Dış Çap(ømm)]]*3.14*Tablo1[[#This Row],[Et Kalınlığı(mm)]]*3/1000*7.85*1.4/20,1)</f>
        <v>2</v>
      </c>
      <c r="G23" s="8">
        <f>_xlfn.CEILING.MATH(2*Tablo1[[#This Row],[Dış Çap(ømm)]]*3.14*Tablo1[[#This Row],[Et Kalınlığı(mm)]]*3/1000*7.85*1.4/35,1)</f>
        <v>1</v>
      </c>
    </row>
    <row r="24" spans="1:7" ht="15" customHeight="1">
      <c r="A24" s="1" t="s">
        <v>3</v>
      </c>
      <c r="B24" s="2" t="s">
        <v>26</v>
      </c>
      <c r="C24" s="2">
        <v>42.4</v>
      </c>
      <c r="D24" s="2">
        <v>3.6</v>
      </c>
      <c r="E24" s="8">
        <v>3.4980000000000002</v>
      </c>
      <c r="F24" s="8">
        <f>_xlfn.CEILING.MATH(2*Tablo1[[#This Row],[Dış Çap(ømm)]]*3.14*Tablo1[[#This Row],[Et Kalınlığı(mm)]]*3/1000*7.85*1.4/20,1)</f>
        <v>2</v>
      </c>
      <c r="G24" s="8">
        <f>_xlfn.CEILING.MATH(2*Tablo1[[#This Row],[Dış Çap(ømm)]]*3.14*Tablo1[[#This Row],[Et Kalınlığı(mm)]]*3/1000*7.85*1.4/35,1)</f>
        <v>1</v>
      </c>
    </row>
    <row r="25" spans="1:7">
      <c r="A25" s="1" t="s">
        <v>4</v>
      </c>
      <c r="B25" s="2" t="s">
        <v>26</v>
      </c>
      <c r="C25" s="2">
        <v>48.3</v>
      </c>
      <c r="D25" s="2">
        <v>1.5</v>
      </c>
      <c r="E25" s="8">
        <v>1.758</v>
      </c>
      <c r="F25" s="8">
        <f>_xlfn.CEILING.MATH(2*Tablo1[[#This Row],[Dış Çap(ømm)]]*3.14*Tablo1[[#This Row],[Et Kalınlığı(mm)]]*3/1000*7.85*1.4/20,1)</f>
        <v>1</v>
      </c>
      <c r="G25" s="8">
        <f>_xlfn.CEILING.MATH(2*Tablo1[[#This Row],[Dış Çap(ømm)]]*3.14*Tablo1[[#This Row],[Et Kalınlığı(mm)]]*3/1000*7.85*1.4/35,1)</f>
        <v>1</v>
      </c>
    </row>
    <row r="26" spans="1:7">
      <c r="A26" s="1" t="s">
        <v>4</v>
      </c>
      <c r="B26" s="2" t="s">
        <v>26</v>
      </c>
      <c r="C26" s="2">
        <v>48.3</v>
      </c>
      <c r="D26" s="2">
        <v>2</v>
      </c>
      <c r="E26" s="8">
        <v>2.319</v>
      </c>
      <c r="F26" s="8">
        <f>_xlfn.CEILING.MATH(2*Tablo1[[#This Row],[Dış Çap(ømm)]]*3.14*Tablo1[[#This Row],[Et Kalınlığı(mm)]]*3/1000*7.85*1.4/20,1)</f>
        <v>2</v>
      </c>
      <c r="G26" s="8">
        <f>_xlfn.CEILING.MATH(2*Tablo1[[#This Row],[Dış Çap(ømm)]]*3.14*Tablo1[[#This Row],[Et Kalınlığı(mm)]]*3/1000*7.85*1.4/35,1)</f>
        <v>1</v>
      </c>
    </row>
    <row r="27" spans="1:7">
      <c r="A27" s="1" t="s">
        <v>4</v>
      </c>
      <c r="B27" s="2" t="s">
        <v>26</v>
      </c>
      <c r="C27" s="2">
        <v>48.3</v>
      </c>
      <c r="D27" s="2">
        <v>2.6</v>
      </c>
      <c r="E27" s="8">
        <v>2.9750000000000001</v>
      </c>
      <c r="F27" s="8">
        <f>_xlfn.CEILING.MATH(2*Tablo1[[#This Row],[Dış Çap(ømm)]]*3.14*Tablo1[[#This Row],[Et Kalınlığı(mm)]]*3/1000*7.85*1.4/20,1)</f>
        <v>2</v>
      </c>
      <c r="G27" s="8">
        <f>_xlfn.CEILING.MATH(2*Tablo1[[#This Row],[Dış Çap(ømm)]]*3.14*Tablo1[[#This Row],[Et Kalınlığı(mm)]]*3/1000*7.85*1.4/35,1)</f>
        <v>1</v>
      </c>
    </row>
    <row r="28" spans="1:7">
      <c r="A28" s="1" t="s">
        <v>4</v>
      </c>
      <c r="B28" s="2" t="s">
        <v>26</v>
      </c>
      <c r="C28" s="2">
        <v>48.3</v>
      </c>
      <c r="D28" s="2">
        <v>3</v>
      </c>
      <c r="E28" s="8">
        <v>3.403</v>
      </c>
      <c r="F28" s="8">
        <f>_xlfn.CEILING.MATH(2*Tablo1[[#This Row],[Dış Çap(ømm)]]*3.14*Tablo1[[#This Row],[Et Kalınlığı(mm)]]*3/1000*7.85*1.4/20,1)</f>
        <v>2</v>
      </c>
      <c r="G28" s="8">
        <f>_xlfn.CEILING.MATH(2*Tablo1[[#This Row],[Dış Çap(ømm)]]*3.14*Tablo1[[#This Row],[Et Kalınlığı(mm)]]*3/1000*7.85*1.4/35,1)</f>
        <v>1</v>
      </c>
    </row>
    <row r="29" spans="1:7">
      <c r="A29" s="1" t="s">
        <v>5</v>
      </c>
      <c r="B29" s="2" t="s">
        <v>26</v>
      </c>
      <c r="C29" s="2">
        <v>60.3</v>
      </c>
      <c r="D29" s="2">
        <v>1.5</v>
      </c>
      <c r="E29" s="8">
        <v>2.2090000000000001</v>
      </c>
      <c r="F29" s="8">
        <f>_xlfn.CEILING.MATH(2*Tablo1[[#This Row],[Dış Çap(ømm)]]*3.14*Tablo1[[#This Row],[Et Kalınlığı(mm)]]*3/1000*7.85*1.4/20,1)</f>
        <v>1</v>
      </c>
      <c r="G29" s="8">
        <f>_xlfn.CEILING.MATH(2*Tablo1[[#This Row],[Dış Çap(ømm)]]*3.14*Tablo1[[#This Row],[Et Kalınlığı(mm)]]*3/1000*7.85*1.4/35,1)</f>
        <v>1</v>
      </c>
    </row>
    <row r="30" spans="1:7">
      <c r="A30" s="1" t="s">
        <v>5</v>
      </c>
      <c r="B30" s="2" t="s">
        <v>26</v>
      </c>
      <c r="C30" s="2">
        <v>60.3</v>
      </c>
      <c r="D30" s="2">
        <v>1.6</v>
      </c>
      <c r="E30" s="8">
        <v>2.3519999999999999</v>
      </c>
      <c r="F30" s="8">
        <f>_xlfn.CEILING.MATH(2*Tablo1[[#This Row],[Dış Çap(ømm)]]*3.14*Tablo1[[#This Row],[Et Kalınlığı(mm)]]*3/1000*7.85*1.4/20,1)</f>
        <v>1</v>
      </c>
      <c r="G30" s="8">
        <f>_xlfn.CEILING.MATH(2*Tablo1[[#This Row],[Dış Çap(ømm)]]*3.14*Tablo1[[#This Row],[Et Kalınlığı(mm)]]*3/1000*7.85*1.4/35,1)</f>
        <v>1</v>
      </c>
    </row>
    <row r="31" spans="1:7">
      <c r="A31" s="1" t="s">
        <v>5</v>
      </c>
      <c r="B31" s="2" t="s">
        <v>26</v>
      </c>
      <c r="C31" s="2">
        <v>60.3</v>
      </c>
      <c r="D31" s="2">
        <v>2</v>
      </c>
      <c r="E31" s="8">
        <v>2.92</v>
      </c>
      <c r="F31" s="8">
        <f>_xlfn.CEILING.MATH(2*Tablo1[[#This Row],[Dış Çap(ømm)]]*3.14*Tablo1[[#This Row],[Et Kalınlığı(mm)]]*3/1000*7.85*1.4/20,1)</f>
        <v>2</v>
      </c>
      <c r="G31" s="8">
        <f>_xlfn.CEILING.MATH(2*Tablo1[[#This Row],[Dış Çap(ømm)]]*3.14*Tablo1[[#This Row],[Et Kalınlığı(mm)]]*3/1000*7.85*1.4/35,1)</f>
        <v>1</v>
      </c>
    </row>
    <row r="32" spans="1:7">
      <c r="A32" s="1" t="s">
        <v>5</v>
      </c>
      <c r="B32" s="2" t="s">
        <v>26</v>
      </c>
      <c r="C32" s="2">
        <v>60.3</v>
      </c>
      <c r="D32" s="2">
        <v>2.6</v>
      </c>
      <c r="E32" s="8">
        <v>3.7570000000000001</v>
      </c>
      <c r="F32" s="8">
        <f>_xlfn.CEILING.MATH(2*Tablo1[[#This Row],[Dış Çap(ømm)]]*3.14*Tablo1[[#This Row],[Et Kalınlığı(mm)]]*3/1000*7.85*1.4/20,1)</f>
        <v>2</v>
      </c>
      <c r="G32" s="8">
        <f>_xlfn.CEILING.MATH(2*Tablo1[[#This Row],[Dış Çap(ømm)]]*3.14*Tablo1[[#This Row],[Et Kalınlığı(mm)]]*3/1000*7.85*1.4/35,1)</f>
        <v>1</v>
      </c>
    </row>
    <row r="33" spans="1:7">
      <c r="A33" s="1" t="s">
        <v>5</v>
      </c>
      <c r="B33" s="2" t="s">
        <v>26</v>
      </c>
      <c r="C33" s="2">
        <v>60.3</v>
      </c>
      <c r="D33" s="2">
        <v>3</v>
      </c>
      <c r="E33" s="8">
        <v>4.3040000000000003</v>
      </c>
      <c r="F33" s="8">
        <f>_xlfn.CEILING.MATH(2*Tablo1[[#This Row],[Dış Çap(ømm)]]*3.14*Tablo1[[#This Row],[Et Kalınlığı(mm)]]*3/1000*7.85*1.4/20,1)</f>
        <v>2</v>
      </c>
      <c r="G33" s="8">
        <f>_xlfn.CEILING.MATH(2*Tablo1[[#This Row],[Dış Çap(ømm)]]*3.14*Tablo1[[#This Row],[Et Kalınlığı(mm)]]*3/1000*7.85*1.4/35,1)</f>
        <v>2</v>
      </c>
    </row>
    <row r="34" spans="1:7">
      <c r="A34" s="1" t="s">
        <v>5</v>
      </c>
      <c r="B34" s="2" t="s">
        <v>26</v>
      </c>
      <c r="C34" s="2">
        <v>60.3</v>
      </c>
      <c r="D34" s="2">
        <v>4</v>
      </c>
      <c r="E34" s="8">
        <v>5.6390000000000002</v>
      </c>
      <c r="F34" s="8">
        <f>_xlfn.CEILING.MATH(2*Tablo1[[#This Row],[Dış Çap(ømm)]]*3.14*Tablo1[[#This Row],[Et Kalınlığı(mm)]]*3/1000*7.85*1.4/20,1)</f>
        <v>3</v>
      </c>
      <c r="G34" s="8">
        <f>_xlfn.CEILING.MATH(2*Tablo1[[#This Row],[Dış Çap(ømm)]]*3.14*Tablo1[[#This Row],[Et Kalınlığı(mm)]]*3/1000*7.85*1.4/35,1)</f>
        <v>2</v>
      </c>
    </row>
    <row r="35" spans="1:7">
      <c r="A35" s="1" t="s">
        <v>6</v>
      </c>
      <c r="B35" s="2" t="s">
        <v>26</v>
      </c>
      <c r="C35" s="2">
        <v>76.099999999999994</v>
      </c>
      <c r="D35" s="2">
        <v>1.5</v>
      </c>
      <c r="E35" s="8">
        <v>2.802</v>
      </c>
      <c r="F35" s="8">
        <f>_xlfn.CEILING.MATH(2*Tablo1[[#This Row],[Dış Çap(ømm)]]*3.14*Tablo1[[#This Row],[Et Kalınlığı(mm)]]*3/1000*7.85*1.4/20,1)</f>
        <v>2</v>
      </c>
      <c r="G35" s="8">
        <f>_xlfn.CEILING.MATH(2*Tablo1[[#This Row],[Dış Çap(ømm)]]*3.14*Tablo1[[#This Row],[Et Kalınlığı(mm)]]*3/1000*7.85*1.4/35,1)</f>
        <v>1</v>
      </c>
    </row>
    <row r="36" spans="1:7">
      <c r="A36" s="1" t="s">
        <v>6</v>
      </c>
      <c r="B36" s="2" t="s">
        <v>26</v>
      </c>
      <c r="C36" s="2">
        <v>76.099999999999994</v>
      </c>
      <c r="D36" s="2">
        <v>1.6</v>
      </c>
      <c r="E36" s="8">
        <v>2.9849999999999999</v>
      </c>
      <c r="F36" s="8">
        <f>_xlfn.CEILING.MATH(2*Tablo1[[#This Row],[Dış Çap(ømm)]]*3.14*Tablo1[[#This Row],[Et Kalınlığı(mm)]]*3/1000*7.85*1.4/20,1)</f>
        <v>2</v>
      </c>
      <c r="G36" s="8">
        <f>_xlfn.CEILING.MATH(2*Tablo1[[#This Row],[Dış Çap(ømm)]]*3.14*Tablo1[[#This Row],[Et Kalınlığı(mm)]]*3/1000*7.85*1.4/35,1)</f>
        <v>1</v>
      </c>
    </row>
    <row r="37" spans="1:7">
      <c r="A37" s="1" t="s">
        <v>6</v>
      </c>
      <c r="B37" s="2" t="s">
        <v>26</v>
      </c>
      <c r="C37" s="2">
        <v>76.099999999999994</v>
      </c>
      <c r="D37" s="2">
        <v>2</v>
      </c>
      <c r="E37" s="8">
        <v>3.7109999999999999</v>
      </c>
      <c r="F37" s="8">
        <f>_xlfn.CEILING.MATH(2*Tablo1[[#This Row],[Dış Çap(ømm)]]*3.14*Tablo1[[#This Row],[Et Kalınlığı(mm)]]*3/1000*7.85*1.4/20,1)</f>
        <v>2</v>
      </c>
      <c r="G37" s="8">
        <f>_xlfn.CEILING.MATH(2*Tablo1[[#This Row],[Dış Çap(ømm)]]*3.14*Tablo1[[#This Row],[Et Kalınlığı(mm)]]*3/1000*7.85*1.4/35,1)</f>
        <v>1</v>
      </c>
    </row>
    <row r="38" spans="1:7">
      <c r="A38" s="1" t="s">
        <v>6</v>
      </c>
      <c r="B38" s="2" t="s">
        <v>26</v>
      </c>
      <c r="C38" s="2">
        <v>76.099999999999994</v>
      </c>
      <c r="D38" s="2">
        <v>2.6</v>
      </c>
      <c r="E38" s="8">
        <v>4.6070000000000002</v>
      </c>
      <c r="F38" s="8">
        <f>_xlfn.CEILING.MATH(2*Tablo1[[#This Row],[Dış Çap(ømm)]]*3.14*Tablo1[[#This Row],[Et Kalınlığı(mm)]]*3/1000*7.85*1.4/20,1)</f>
        <v>3</v>
      </c>
      <c r="G38" s="8">
        <f>_xlfn.CEILING.MATH(2*Tablo1[[#This Row],[Dış Çap(ømm)]]*3.14*Tablo1[[#This Row],[Et Kalınlığı(mm)]]*3/1000*7.85*1.4/35,1)</f>
        <v>2</v>
      </c>
    </row>
    <row r="39" spans="1:7">
      <c r="A39" s="1" t="s">
        <v>6</v>
      </c>
      <c r="B39" s="2" t="s">
        <v>26</v>
      </c>
      <c r="C39" s="2">
        <v>76.099999999999994</v>
      </c>
      <c r="D39" s="2">
        <v>3</v>
      </c>
      <c r="E39" s="8">
        <v>5.4909999999999997</v>
      </c>
      <c r="F39" s="8">
        <f>_xlfn.CEILING.MATH(2*Tablo1[[#This Row],[Dış Çap(ømm)]]*3.14*Tablo1[[#This Row],[Et Kalınlığı(mm)]]*3/1000*7.85*1.4/20,1)</f>
        <v>3</v>
      </c>
      <c r="G39" s="8">
        <f>_xlfn.CEILING.MATH(2*Tablo1[[#This Row],[Dış Çap(ømm)]]*3.14*Tablo1[[#This Row],[Et Kalınlığı(mm)]]*3/1000*7.85*1.4/35,1)</f>
        <v>2</v>
      </c>
    </row>
    <row r="40" spans="1:7">
      <c r="A40" s="1" t="s">
        <v>6</v>
      </c>
      <c r="B40" s="2" t="s">
        <v>26</v>
      </c>
      <c r="C40" s="2">
        <v>76.099999999999994</v>
      </c>
      <c r="D40" s="2">
        <v>4</v>
      </c>
      <c r="E40" s="8">
        <v>7.2220000000000004</v>
      </c>
      <c r="F40" s="8">
        <f>_xlfn.CEILING.MATH(2*Tablo1[[#This Row],[Dış Çap(ømm)]]*3.14*Tablo1[[#This Row],[Et Kalınlığı(mm)]]*3/1000*7.85*1.4/20,1)</f>
        <v>4</v>
      </c>
      <c r="G40" s="8">
        <f>_xlfn.CEILING.MATH(2*Tablo1[[#This Row],[Dış Çap(ømm)]]*3.14*Tablo1[[#This Row],[Et Kalınlığı(mm)]]*3/1000*7.85*1.4/35,1)</f>
        <v>2</v>
      </c>
    </row>
    <row r="41" spans="1:7">
      <c r="A41" s="1" t="s">
        <v>7</v>
      </c>
      <c r="B41" s="2" t="s">
        <v>26</v>
      </c>
      <c r="C41" s="2">
        <v>88.9</v>
      </c>
      <c r="D41" s="2">
        <v>1.5</v>
      </c>
      <c r="E41" s="8">
        <v>3.2829999999999999</v>
      </c>
      <c r="F41" s="8">
        <f>_xlfn.CEILING.MATH(2*Tablo1[[#This Row],[Dış Çap(ømm)]]*3.14*Tablo1[[#This Row],[Et Kalınlığı(mm)]]*3/1000*7.85*1.4/20,1)</f>
        <v>2</v>
      </c>
      <c r="G41" s="8">
        <f>_xlfn.CEILING.MATH(2*Tablo1[[#This Row],[Dış Çap(ømm)]]*3.14*Tablo1[[#This Row],[Et Kalınlığı(mm)]]*3/1000*7.85*1.4/35,1)</f>
        <v>1</v>
      </c>
    </row>
    <row r="42" spans="1:7">
      <c r="A42" s="1" t="s">
        <v>7</v>
      </c>
      <c r="B42" s="2" t="s">
        <v>26</v>
      </c>
      <c r="C42" s="2">
        <v>88.9</v>
      </c>
      <c r="D42" s="2">
        <v>1.6</v>
      </c>
      <c r="E42" s="8">
        <v>3.4980000000000002</v>
      </c>
      <c r="F42" s="8">
        <f>_xlfn.CEILING.MATH(2*Tablo1[[#This Row],[Dış Çap(ømm)]]*3.14*Tablo1[[#This Row],[Et Kalınlığı(mm)]]*3/1000*7.85*1.4/20,1)</f>
        <v>2</v>
      </c>
      <c r="G42" s="8">
        <f>_xlfn.CEILING.MATH(2*Tablo1[[#This Row],[Dış Çap(ømm)]]*3.14*Tablo1[[#This Row],[Et Kalınlığı(mm)]]*3/1000*7.85*1.4/35,1)</f>
        <v>1</v>
      </c>
    </row>
    <row r="43" spans="1:7">
      <c r="A43" s="1" t="s">
        <v>7</v>
      </c>
      <c r="B43" s="2" t="s">
        <v>26</v>
      </c>
      <c r="C43" s="2">
        <v>88.9</v>
      </c>
      <c r="D43" s="2">
        <v>2</v>
      </c>
      <c r="E43" s="8">
        <v>4.3520000000000003</v>
      </c>
      <c r="F43" s="8">
        <f>_xlfn.CEILING.MATH(2*Tablo1[[#This Row],[Dış Çap(ømm)]]*3.14*Tablo1[[#This Row],[Et Kalınlığı(mm)]]*3/1000*7.85*1.4/20,1)</f>
        <v>2</v>
      </c>
      <c r="G43" s="8">
        <f>_xlfn.CEILING.MATH(2*Tablo1[[#This Row],[Dış Çap(ømm)]]*3.14*Tablo1[[#This Row],[Et Kalınlığı(mm)]]*3/1000*7.85*1.4/35,1)</f>
        <v>2</v>
      </c>
    </row>
    <row r="44" spans="1:7">
      <c r="A44" s="1" t="s">
        <v>7</v>
      </c>
      <c r="B44" s="2" t="s">
        <v>26</v>
      </c>
      <c r="C44" s="2">
        <v>88.9</v>
      </c>
      <c r="D44" s="2">
        <v>2.6</v>
      </c>
      <c r="E44" s="8">
        <v>5.6180000000000003</v>
      </c>
      <c r="F44" s="8">
        <f>_xlfn.CEILING.MATH(2*Tablo1[[#This Row],[Dış Çap(ømm)]]*3.14*Tablo1[[#This Row],[Et Kalınlığı(mm)]]*3/1000*7.85*1.4/20,1)</f>
        <v>3</v>
      </c>
      <c r="G44" s="8">
        <f>_xlfn.CEILING.MATH(2*Tablo1[[#This Row],[Dış Çap(ømm)]]*3.14*Tablo1[[#This Row],[Et Kalınlığı(mm)]]*3/1000*7.85*1.4/35,1)</f>
        <v>2</v>
      </c>
    </row>
    <row r="45" spans="1:7">
      <c r="A45" s="1" t="s">
        <v>7</v>
      </c>
      <c r="B45" s="2" t="s">
        <v>26</v>
      </c>
      <c r="C45" s="2">
        <v>88.9</v>
      </c>
      <c r="D45" s="2">
        <v>3</v>
      </c>
      <c r="E45" s="8">
        <v>6.4530000000000003</v>
      </c>
      <c r="F45" s="8">
        <f>_xlfn.CEILING.MATH(2*Tablo1[[#This Row],[Dış Çap(ømm)]]*3.14*Tablo1[[#This Row],[Et Kalınlığı(mm)]]*3/1000*7.85*1.4/20,1)</f>
        <v>3</v>
      </c>
      <c r="G45" s="8">
        <f>_xlfn.CEILING.MATH(2*Tablo1[[#This Row],[Dış Çap(ømm)]]*3.14*Tablo1[[#This Row],[Et Kalınlığı(mm)]]*3/1000*7.85*1.4/35,1)</f>
        <v>2</v>
      </c>
    </row>
    <row r="46" spans="1:7">
      <c r="A46" s="1" t="s">
        <v>7</v>
      </c>
      <c r="B46" s="2" t="s">
        <v>26</v>
      </c>
      <c r="C46" s="2">
        <v>88.9</v>
      </c>
      <c r="D46" s="2">
        <v>4</v>
      </c>
      <c r="E46" s="8">
        <v>8.5039999999999996</v>
      </c>
      <c r="F46" s="8">
        <f>_xlfn.CEILING.MATH(2*Tablo1[[#This Row],[Dış Çap(ømm)]]*3.14*Tablo1[[#This Row],[Et Kalınlığı(mm)]]*3/1000*7.85*1.4/20,1)</f>
        <v>4</v>
      </c>
      <c r="G46" s="8">
        <f>_xlfn.CEILING.MATH(2*Tablo1[[#This Row],[Dış Çap(ømm)]]*3.14*Tablo1[[#This Row],[Et Kalınlığı(mm)]]*3/1000*7.85*1.4/35,1)</f>
        <v>3</v>
      </c>
    </row>
    <row r="47" spans="1:7">
      <c r="A47" s="1" t="s">
        <v>8</v>
      </c>
      <c r="B47" s="2" t="s">
        <v>26</v>
      </c>
      <c r="C47" s="2">
        <v>114.3</v>
      </c>
      <c r="D47" s="2">
        <v>2</v>
      </c>
      <c r="E47" s="8">
        <v>5.6239999999999997</v>
      </c>
      <c r="F47" s="8">
        <f>_xlfn.CEILING.MATH(2*Tablo1[[#This Row],[Dış Çap(ømm)]]*3.14*Tablo1[[#This Row],[Et Kalınlığı(mm)]]*3/1000*7.85*1.4/20,1)</f>
        <v>3</v>
      </c>
      <c r="G47" s="8">
        <f>_xlfn.CEILING.MATH(2*Tablo1[[#This Row],[Dış Çap(ømm)]]*3.14*Tablo1[[#This Row],[Et Kalınlığı(mm)]]*3/1000*7.85*1.4/35,1)</f>
        <v>2</v>
      </c>
    </row>
    <row r="48" spans="1:7">
      <c r="A48" s="1" t="s">
        <v>8</v>
      </c>
      <c r="B48" s="2" t="s">
        <v>26</v>
      </c>
      <c r="C48" s="2">
        <v>114.3</v>
      </c>
      <c r="D48" s="2">
        <v>2.6</v>
      </c>
      <c r="E48" s="8">
        <v>7.2720000000000002</v>
      </c>
      <c r="F48" s="8">
        <f>_xlfn.CEILING.MATH(2*Tablo1[[#This Row],[Dış Çap(ømm)]]*3.14*Tablo1[[#This Row],[Et Kalınlığı(mm)]]*3/1000*7.85*1.4/20,1)</f>
        <v>4</v>
      </c>
      <c r="G48" s="8">
        <f>_xlfn.CEILING.MATH(2*Tablo1[[#This Row],[Dış Çap(ømm)]]*3.14*Tablo1[[#This Row],[Et Kalınlığı(mm)]]*3/1000*7.85*1.4/35,1)</f>
        <v>2</v>
      </c>
    </row>
    <row r="49" spans="1:7">
      <c r="A49" s="1" t="s">
        <v>8</v>
      </c>
      <c r="B49" s="2" t="s">
        <v>26</v>
      </c>
      <c r="C49" s="2">
        <v>114.3</v>
      </c>
      <c r="D49" s="2">
        <v>3</v>
      </c>
      <c r="E49" s="8">
        <v>8.3610000000000007</v>
      </c>
      <c r="F49" s="8">
        <f>_xlfn.CEILING.MATH(2*Tablo1[[#This Row],[Dış Çap(ømm)]]*3.14*Tablo1[[#This Row],[Et Kalınlığı(mm)]]*3/1000*7.85*1.4/20,1)</f>
        <v>4</v>
      </c>
      <c r="G49" s="8">
        <f>_xlfn.CEILING.MATH(2*Tablo1[[#This Row],[Dış Çap(ømm)]]*3.14*Tablo1[[#This Row],[Et Kalınlığı(mm)]]*3/1000*7.85*1.4/35,1)</f>
        <v>3</v>
      </c>
    </row>
    <row r="50" spans="1:7">
      <c r="A50" s="1" t="s">
        <v>8</v>
      </c>
      <c r="B50" s="2" t="s">
        <v>26</v>
      </c>
      <c r="C50" s="2">
        <v>114.3</v>
      </c>
      <c r="D50" s="2">
        <v>3.6</v>
      </c>
      <c r="E50" s="8">
        <v>9.9789999999999992</v>
      </c>
      <c r="F50" s="8">
        <f>_xlfn.CEILING.MATH(2*Tablo1[[#This Row],[Dış Çap(ømm)]]*3.14*Tablo1[[#This Row],[Et Kalınlığı(mm)]]*3/1000*7.85*1.4/20,1)</f>
        <v>5</v>
      </c>
      <c r="G50" s="8">
        <f>_xlfn.CEILING.MATH(2*Tablo1[[#This Row],[Dış Çap(ømm)]]*3.14*Tablo1[[#This Row],[Et Kalınlığı(mm)]]*3/1000*7.85*1.4/35,1)</f>
        <v>3</v>
      </c>
    </row>
    <row r="51" spans="1:7">
      <c r="A51" s="1" t="s">
        <v>8</v>
      </c>
      <c r="B51" s="2" t="s">
        <v>26</v>
      </c>
      <c r="C51" s="2">
        <v>114.3</v>
      </c>
      <c r="D51" s="2">
        <v>4</v>
      </c>
      <c r="E51" s="8">
        <v>11.048</v>
      </c>
      <c r="F51" s="8">
        <f>_xlfn.CEILING.MATH(2*Tablo1[[#This Row],[Dış Çap(ømm)]]*3.14*Tablo1[[#This Row],[Et Kalınlığı(mm)]]*3/1000*7.85*1.4/20,1)</f>
        <v>5</v>
      </c>
      <c r="G51" s="8">
        <f>_xlfn.CEILING.MATH(2*Tablo1[[#This Row],[Dış Çap(ømm)]]*3.14*Tablo1[[#This Row],[Et Kalınlığı(mm)]]*3/1000*7.85*1.4/35,1)</f>
        <v>3</v>
      </c>
    </row>
    <row r="52" spans="1:7">
      <c r="A52" s="1" t="s">
        <v>9</v>
      </c>
      <c r="B52" s="2" t="s">
        <v>26</v>
      </c>
      <c r="C52" s="2">
        <v>139.69999999999999</v>
      </c>
      <c r="D52" s="2">
        <v>2</v>
      </c>
      <c r="E52" s="8">
        <v>6.8959999999999999</v>
      </c>
      <c r="F52" s="8">
        <f>_xlfn.CEILING.MATH(2*Tablo1[[#This Row],[Dış Çap(ømm)]]*3.14*Tablo1[[#This Row],[Et Kalınlığı(mm)]]*3/1000*7.85*1.4/20,1)</f>
        <v>3</v>
      </c>
      <c r="G52" s="8">
        <f>_xlfn.CEILING.MATH(2*Tablo1[[#This Row],[Dış Çap(ømm)]]*3.14*Tablo1[[#This Row],[Et Kalınlığı(mm)]]*3/1000*7.85*1.4/35,1)</f>
        <v>2</v>
      </c>
    </row>
    <row r="53" spans="1:7">
      <c r="A53" s="1" t="s">
        <v>9</v>
      </c>
      <c r="B53" s="2" t="s">
        <v>26</v>
      </c>
      <c r="C53" s="2">
        <v>139.69999999999999</v>
      </c>
      <c r="D53" s="2">
        <v>2.6</v>
      </c>
      <c r="E53" s="8">
        <v>8.9260000000000002</v>
      </c>
      <c r="F53" s="8">
        <f>_xlfn.CEILING.MATH(2*Tablo1[[#This Row],[Dış Çap(ømm)]]*3.14*Tablo1[[#This Row],[Et Kalınlığı(mm)]]*3/1000*7.85*1.4/20,1)</f>
        <v>4</v>
      </c>
      <c r="G53" s="8">
        <f>_xlfn.CEILING.MATH(2*Tablo1[[#This Row],[Dış Çap(ømm)]]*3.14*Tablo1[[#This Row],[Et Kalınlığı(mm)]]*3/1000*7.85*1.4/35,1)</f>
        <v>3</v>
      </c>
    </row>
    <row r="54" spans="1:7">
      <c r="A54" s="1" t="s">
        <v>9</v>
      </c>
      <c r="B54" s="2" t="s">
        <v>26</v>
      </c>
      <c r="C54" s="2">
        <v>139.69999999999999</v>
      </c>
      <c r="D54" s="2">
        <v>3</v>
      </c>
      <c r="E54" s="8">
        <v>10.269</v>
      </c>
      <c r="F54" s="8">
        <f>_xlfn.CEILING.MATH(2*Tablo1[[#This Row],[Dış Çap(ømm)]]*3.14*Tablo1[[#This Row],[Et Kalınlığı(mm)]]*3/1000*7.85*1.4/20,1)</f>
        <v>5</v>
      </c>
      <c r="G54" s="8">
        <f>_xlfn.CEILING.MATH(2*Tablo1[[#This Row],[Dış Çap(ømm)]]*3.14*Tablo1[[#This Row],[Et Kalınlığı(mm)]]*3/1000*7.85*1.4/35,1)</f>
        <v>3</v>
      </c>
    </row>
    <row r="55" spans="1:7">
      <c r="A55" s="1" t="s">
        <v>9</v>
      </c>
      <c r="B55" s="2" t="s">
        <v>26</v>
      </c>
      <c r="C55" s="2">
        <v>139.69999999999999</v>
      </c>
      <c r="D55" s="2">
        <v>4</v>
      </c>
      <c r="E55" s="8">
        <v>13.592000000000001</v>
      </c>
      <c r="F55" s="8">
        <f>_xlfn.CEILING.MATH(2*Tablo1[[#This Row],[Dış Çap(ømm)]]*3.14*Tablo1[[#This Row],[Et Kalınlığı(mm)]]*3/1000*7.85*1.4/20,1)</f>
        <v>6</v>
      </c>
      <c r="G55" s="8">
        <f>_xlfn.CEILING.MATH(2*Tablo1[[#This Row],[Dış Çap(ømm)]]*3.14*Tablo1[[#This Row],[Et Kalınlığı(mm)]]*3/1000*7.85*1.4/35,1)</f>
        <v>4</v>
      </c>
    </row>
    <row r="56" spans="1:7">
      <c r="A56" s="1" t="s">
        <v>10</v>
      </c>
      <c r="B56" s="2" t="s">
        <v>26</v>
      </c>
      <c r="C56" s="2">
        <v>168.3</v>
      </c>
      <c r="D56" s="2">
        <v>2</v>
      </c>
      <c r="E56" s="8">
        <v>8.3279999999999994</v>
      </c>
      <c r="F56" s="8">
        <f>_xlfn.CEILING.MATH(2*Tablo1[[#This Row],[Dış Çap(ømm)]]*3.14*Tablo1[[#This Row],[Et Kalınlığı(mm)]]*3/1000*7.85*1.4/20,1)</f>
        <v>4</v>
      </c>
      <c r="G56" s="8">
        <f>_xlfn.CEILING.MATH(2*Tablo1[[#This Row],[Dış Çap(ømm)]]*3.14*Tablo1[[#This Row],[Et Kalınlığı(mm)]]*3/1000*7.85*1.4/35,1)</f>
        <v>2</v>
      </c>
    </row>
    <row r="57" spans="1:7">
      <c r="A57" s="1" t="s">
        <v>10</v>
      </c>
      <c r="B57" s="2" t="s">
        <v>26</v>
      </c>
      <c r="C57" s="2">
        <v>168.3</v>
      </c>
      <c r="D57" s="2">
        <v>2.6</v>
      </c>
      <c r="E57" s="8">
        <v>10.788</v>
      </c>
      <c r="F57" s="8">
        <f>_xlfn.CEILING.MATH(2*Tablo1[[#This Row],[Dış Çap(ømm)]]*3.14*Tablo1[[#This Row],[Et Kalınlığı(mm)]]*3/1000*7.85*1.4/20,1)</f>
        <v>5</v>
      </c>
      <c r="G57" s="8">
        <f>_xlfn.CEILING.MATH(2*Tablo1[[#This Row],[Dış Çap(ømm)]]*3.14*Tablo1[[#This Row],[Et Kalınlığı(mm)]]*3/1000*7.85*1.4/35,1)</f>
        <v>3</v>
      </c>
    </row>
    <row r="58" spans="1:7">
      <c r="A58" s="1" t="s">
        <v>10</v>
      </c>
      <c r="B58" s="2" t="s">
        <v>26</v>
      </c>
      <c r="C58" s="2">
        <v>168.3</v>
      </c>
      <c r="D58" s="2">
        <v>3</v>
      </c>
      <c r="E58" s="8">
        <v>12.417</v>
      </c>
      <c r="F58" s="8">
        <f>_xlfn.CEILING.MATH(2*Tablo1[[#This Row],[Dış Çap(ømm)]]*3.14*Tablo1[[#This Row],[Et Kalınlığı(mm)]]*3/1000*7.85*1.4/20,1)</f>
        <v>6</v>
      </c>
      <c r="G58" s="8">
        <f>_xlfn.CEILING.MATH(2*Tablo1[[#This Row],[Dış Çap(ømm)]]*3.14*Tablo1[[#This Row],[Et Kalınlığı(mm)]]*3/1000*7.85*1.4/35,1)</f>
        <v>3</v>
      </c>
    </row>
    <row r="59" spans="1:7">
      <c r="A59" s="1" t="s">
        <v>10</v>
      </c>
      <c r="B59" s="2" t="s">
        <v>26</v>
      </c>
      <c r="C59" s="2">
        <v>168.3</v>
      </c>
      <c r="D59" s="2">
        <v>4</v>
      </c>
      <c r="E59" s="8">
        <v>16.456</v>
      </c>
      <c r="F59" s="8">
        <f>_xlfn.CEILING.MATH(2*Tablo1[[#This Row],[Dış Çap(ømm)]]*3.14*Tablo1[[#This Row],[Et Kalınlığı(mm)]]*3/1000*7.85*1.4/20,1)</f>
        <v>7</v>
      </c>
      <c r="G59" s="8">
        <f>_xlfn.CEILING.MATH(2*Tablo1[[#This Row],[Dış Çap(ømm)]]*3.14*Tablo1[[#This Row],[Et Kalınlığı(mm)]]*3/1000*7.85*1.4/35,1)</f>
        <v>4</v>
      </c>
    </row>
    <row r="60" spans="1:7">
      <c r="A60" s="1" t="s">
        <v>11</v>
      </c>
      <c r="B60" s="2" t="s">
        <v>26</v>
      </c>
      <c r="C60" s="2">
        <v>219.1</v>
      </c>
      <c r="D60" s="2">
        <v>2</v>
      </c>
      <c r="E60" s="8">
        <v>10.872</v>
      </c>
      <c r="F60" s="8">
        <f>_xlfn.CEILING.MATH(2*Tablo1[[#This Row],[Dış Çap(ømm)]]*3.14*Tablo1[[#This Row],[Et Kalınlığı(mm)]]*3/1000*7.85*1.4/20,1)</f>
        <v>5</v>
      </c>
      <c r="G60" s="8">
        <f>_xlfn.CEILING.MATH(2*Tablo1[[#This Row],[Dış Çap(ømm)]]*3.14*Tablo1[[#This Row],[Et Kalınlığı(mm)]]*3/1000*7.85*1.4/35,1)</f>
        <v>3</v>
      </c>
    </row>
    <row r="61" spans="1:7">
      <c r="A61" s="1" t="s">
        <v>11</v>
      </c>
      <c r="B61" s="2" t="s">
        <v>26</v>
      </c>
      <c r="C61" s="2">
        <v>219.1</v>
      </c>
      <c r="D61" s="2">
        <v>2.6</v>
      </c>
      <c r="E61" s="8">
        <v>14.095000000000001</v>
      </c>
      <c r="F61" s="8">
        <f>_xlfn.CEILING.MATH(2*Tablo1[[#This Row],[Dış Çap(ømm)]]*3.14*Tablo1[[#This Row],[Et Kalınlığı(mm)]]*3/1000*7.85*1.4/20,1)</f>
        <v>6</v>
      </c>
      <c r="G61" s="8">
        <f>_xlfn.CEILING.MATH(2*Tablo1[[#This Row],[Dış Çap(ømm)]]*3.14*Tablo1[[#This Row],[Et Kalınlığı(mm)]]*3/1000*7.85*1.4/35,1)</f>
        <v>4</v>
      </c>
    </row>
    <row r="62" spans="1:7">
      <c r="A62" s="1" t="s">
        <v>11</v>
      </c>
      <c r="B62" s="2" t="s">
        <v>26</v>
      </c>
      <c r="C62" s="2">
        <v>219.1</v>
      </c>
      <c r="D62" s="2">
        <v>3</v>
      </c>
      <c r="E62" s="8">
        <v>16.233000000000001</v>
      </c>
      <c r="F62" s="8">
        <f>_xlfn.CEILING.MATH(2*Tablo1[[#This Row],[Dış Çap(ømm)]]*3.14*Tablo1[[#This Row],[Et Kalınlığı(mm)]]*3/1000*7.85*1.4/20,1)</f>
        <v>7</v>
      </c>
      <c r="G62" s="8">
        <f>_xlfn.CEILING.MATH(2*Tablo1[[#This Row],[Dış Çap(ømm)]]*3.14*Tablo1[[#This Row],[Et Kalınlığı(mm)]]*3/1000*7.85*1.4/35,1)</f>
        <v>4</v>
      </c>
    </row>
    <row r="63" spans="1:7">
      <c r="A63" s="1" t="s">
        <v>11</v>
      </c>
      <c r="B63" s="2" t="s">
        <v>26</v>
      </c>
      <c r="C63" s="2">
        <v>219.1</v>
      </c>
      <c r="D63" s="2">
        <v>4</v>
      </c>
      <c r="E63" s="8">
        <v>21.544</v>
      </c>
      <c r="F63" s="8">
        <f>_xlfn.CEILING.MATH(2*Tablo1[[#This Row],[Dış Çap(ømm)]]*3.14*Tablo1[[#This Row],[Et Kalınlığı(mm)]]*3/1000*7.85*1.4/20,1)</f>
        <v>10</v>
      </c>
      <c r="G63" s="8">
        <f>_xlfn.CEILING.MATH(2*Tablo1[[#This Row],[Dış Çap(ømm)]]*3.14*Tablo1[[#This Row],[Et Kalınlığı(mm)]]*3/1000*7.85*1.4/35,1)</f>
        <v>6</v>
      </c>
    </row>
    <row r="64" spans="1:7">
      <c r="A64" s="1" t="s">
        <v>11</v>
      </c>
      <c r="B64" s="2" t="s">
        <v>26</v>
      </c>
      <c r="C64" s="2">
        <v>219.1</v>
      </c>
      <c r="D64" s="2">
        <v>5</v>
      </c>
      <c r="E64" s="8">
        <v>26.805</v>
      </c>
      <c r="F64" s="8">
        <f>_xlfn.CEILING.MATH(2*Tablo1[[#This Row],[Dış Çap(ømm)]]*3.14*Tablo1[[#This Row],[Et Kalınlığı(mm)]]*3/1000*7.85*1.4/20,1)</f>
        <v>12</v>
      </c>
      <c r="G64" s="8">
        <f>_xlfn.CEILING.MATH(2*Tablo1[[#This Row],[Dış Çap(ømm)]]*3.14*Tablo1[[#This Row],[Et Kalınlığı(mm)]]*3/1000*7.85*1.4/35,1)</f>
        <v>7</v>
      </c>
    </row>
    <row r="65" spans="1:7">
      <c r="A65" s="1" t="s">
        <v>12</v>
      </c>
      <c r="B65" s="2" t="s">
        <v>26</v>
      </c>
      <c r="C65" s="2">
        <v>273</v>
      </c>
      <c r="D65" s="2">
        <v>2</v>
      </c>
      <c r="E65" s="8">
        <v>13.571999999999999</v>
      </c>
      <c r="F65" s="8">
        <f>_xlfn.CEILING.MATH(2*Tablo1[[#This Row],[Dış Çap(ømm)]]*3.14*Tablo1[[#This Row],[Et Kalınlığı(mm)]]*3/1000*7.85*1.4/20,1)</f>
        <v>6</v>
      </c>
      <c r="G65" s="8">
        <f>_xlfn.CEILING.MATH(2*Tablo1[[#This Row],[Dış Çap(ømm)]]*3.14*Tablo1[[#This Row],[Et Kalınlığı(mm)]]*3/1000*7.85*1.4/35,1)</f>
        <v>4</v>
      </c>
    </row>
    <row r="66" spans="1:7">
      <c r="A66" s="1" t="s">
        <v>12</v>
      </c>
      <c r="B66" s="2" t="s">
        <v>26</v>
      </c>
      <c r="C66" s="2">
        <v>273</v>
      </c>
      <c r="D66" s="2">
        <v>3</v>
      </c>
      <c r="E66" s="8">
        <v>20.282</v>
      </c>
      <c r="F66" s="8">
        <f>_xlfn.CEILING.MATH(2*Tablo1[[#This Row],[Dış Çap(ømm)]]*3.14*Tablo1[[#This Row],[Et Kalınlığı(mm)]]*3/1000*7.85*1.4/20,1)</f>
        <v>9</v>
      </c>
      <c r="G66" s="8">
        <f>_xlfn.CEILING.MATH(2*Tablo1[[#This Row],[Dış Çap(ømm)]]*3.14*Tablo1[[#This Row],[Et Kalınlığı(mm)]]*3/1000*7.85*1.4/35,1)</f>
        <v>5</v>
      </c>
    </row>
    <row r="67" spans="1:7">
      <c r="A67" s="1" t="s">
        <v>12</v>
      </c>
      <c r="B67" s="2" t="s">
        <v>26</v>
      </c>
      <c r="C67" s="2">
        <v>273</v>
      </c>
      <c r="D67" s="2">
        <v>4</v>
      </c>
      <c r="E67" s="8">
        <v>26.943000000000001</v>
      </c>
      <c r="F67" s="8">
        <f>_xlfn.CEILING.MATH(2*Tablo1[[#This Row],[Dış Çap(ømm)]]*3.14*Tablo1[[#This Row],[Et Kalınlığı(mm)]]*3/1000*7.85*1.4/20,1)</f>
        <v>12</v>
      </c>
      <c r="G67" s="8">
        <f>_xlfn.CEILING.MATH(2*Tablo1[[#This Row],[Dış Çap(ømm)]]*3.14*Tablo1[[#This Row],[Et Kalınlığı(mm)]]*3/1000*7.85*1.4/35,1)</f>
        <v>7</v>
      </c>
    </row>
    <row r="68" spans="1:7">
      <c r="A68" s="1" t="s">
        <v>12</v>
      </c>
      <c r="B68" s="2" t="s">
        <v>26</v>
      </c>
      <c r="C68" s="2">
        <v>273</v>
      </c>
      <c r="D68" s="2">
        <v>5</v>
      </c>
      <c r="E68" s="8">
        <v>33.554000000000002</v>
      </c>
      <c r="F68" s="8">
        <f>_xlfn.CEILING.MATH(2*Tablo1[[#This Row],[Dış Çap(ømm)]]*3.14*Tablo1[[#This Row],[Et Kalınlığı(mm)]]*3/1000*7.85*1.4/20,1)</f>
        <v>15</v>
      </c>
      <c r="G68" s="8">
        <f>_xlfn.CEILING.MATH(2*Tablo1[[#This Row],[Dış Çap(ømm)]]*3.14*Tablo1[[#This Row],[Et Kalınlığı(mm)]]*3/1000*7.85*1.4/35,1)</f>
        <v>9</v>
      </c>
    </row>
    <row r="69" spans="1:7">
      <c r="A69" s="1" t="s">
        <v>13</v>
      </c>
      <c r="B69" s="2" t="s">
        <v>26</v>
      </c>
      <c r="C69" s="2">
        <v>323.89999999999998</v>
      </c>
      <c r="D69" s="2">
        <v>2</v>
      </c>
      <c r="E69" s="8">
        <v>16.120999999999999</v>
      </c>
      <c r="F69" s="8">
        <f>_xlfn.CEILING.MATH(2*Tablo1[[#This Row],[Dış Çap(ømm)]]*3.14*Tablo1[[#This Row],[Et Kalınlığı(mm)]]*3/1000*7.85*1.4/20,1)</f>
        <v>7</v>
      </c>
      <c r="G69" s="8">
        <f>_xlfn.CEILING.MATH(2*Tablo1[[#This Row],[Dış Çap(ømm)]]*3.14*Tablo1[[#This Row],[Et Kalınlığı(mm)]]*3/1000*7.85*1.4/35,1)</f>
        <v>4</v>
      </c>
    </row>
    <row r="70" spans="1:7">
      <c r="A70" s="1" t="s">
        <v>13</v>
      </c>
      <c r="B70" s="2" t="s">
        <v>26</v>
      </c>
      <c r="C70" s="2">
        <v>323.89999999999998</v>
      </c>
      <c r="D70" s="2">
        <v>3</v>
      </c>
      <c r="E70" s="8">
        <v>24.106000000000002</v>
      </c>
      <c r="F70" s="8">
        <f>_xlfn.CEILING.MATH(2*Tablo1[[#This Row],[Dış Çap(ømm)]]*3.14*Tablo1[[#This Row],[Et Kalınlığı(mm)]]*3/1000*7.85*1.4/20,1)</f>
        <v>11</v>
      </c>
      <c r="G70" s="8">
        <f>_xlfn.CEILING.MATH(2*Tablo1[[#This Row],[Dış Çap(ømm)]]*3.14*Tablo1[[#This Row],[Et Kalınlığı(mm)]]*3/1000*7.85*1.4/35,1)</f>
        <v>6</v>
      </c>
    </row>
    <row r="71" spans="1:7">
      <c r="A71" s="1" t="s">
        <v>13</v>
      </c>
      <c r="B71" s="2" t="s">
        <v>26</v>
      </c>
      <c r="C71" s="2">
        <v>323.89999999999998</v>
      </c>
      <c r="D71" s="2">
        <v>4</v>
      </c>
      <c r="E71" s="8">
        <v>32.040999999999997</v>
      </c>
      <c r="F71" s="8">
        <f>_xlfn.CEILING.MATH(2*Tablo1[[#This Row],[Dış Çap(ømm)]]*3.14*Tablo1[[#This Row],[Et Kalınlığı(mm)]]*3/1000*7.85*1.4/20,1)</f>
        <v>14</v>
      </c>
      <c r="G71" s="8">
        <f>_xlfn.CEILING.MATH(2*Tablo1[[#This Row],[Dış Çap(ømm)]]*3.14*Tablo1[[#This Row],[Et Kalınlığı(mm)]]*3/1000*7.85*1.4/35,1)</f>
        <v>8</v>
      </c>
    </row>
    <row r="72" spans="1:7">
      <c r="A72" s="1" t="s">
        <v>13</v>
      </c>
      <c r="B72" s="2" t="s">
        <v>26</v>
      </c>
      <c r="C72" s="2">
        <v>323.89999999999998</v>
      </c>
      <c r="D72" s="2">
        <v>5</v>
      </c>
      <c r="E72" s="8">
        <v>39.926000000000002</v>
      </c>
      <c r="F72" s="8">
        <f>_xlfn.CEILING.MATH(2*Tablo1[[#This Row],[Dış Çap(ømm)]]*3.14*Tablo1[[#This Row],[Et Kalınlığı(mm)]]*3/1000*7.85*1.4/20,1)</f>
        <v>17</v>
      </c>
      <c r="G72" s="8">
        <f>_xlfn.CEILING.MATH(2*Tablo1[[#This Row],[Dış Çap(ømm)]]*3.14*Tablo1[[#This Row],[Et Kalınlığı(mm)]]*3/1000*7.85*1.4/35,1)</f>
        <v>10</v>
      </c>
    </row>
    <row r="73" spans="1:7">
      <c r="A73" s="1" t="s">
        <v>14</v>
      </c>
      <c r="B73" s="2" t="s">
        <v>26</v>
      </c>
      <c r="C73" s="2">
        <v>355.6</v>
      </c>
      <c r="D73" s="2">
        <v>2</v>
      </c>
      <c r="E73" s="8">
        <v>17.707999999999998</v>
      </c>
      <c r="F73" s="8">
        <f>_xlfn.CEILING.MATH(2*Tablo1[[#This Row],[Dış Çap(ømm)]]*3.14*Tablo1[[#This Row],[Et Kalınlığı(mm)]]*3/1000*7.85*1.4/20,1)</f>
        <v>8</v>
      </c>
      <c r="G73" s="8">
        <f>_xlfn.CEILING.MATH(2*Tablo1[[#This Row],[Dış Çap(ømm)]]*3.14*Tablo1[[#This Row],[Et Kalınlığı(mm)]]*3/1000*7.85*1.4/35,1)</f>
        <v>5</v>
      </c>
    </row>
    <row r="74" spans="1:7">
      <c r="A74" s="1" t="s">
        <v>14</v>
      </c>
      <c r="B74" s="2" t="s">
        <v>26</v>
      </c>
      <c r="C74" s="2">
        <v>355.6</v>
      </c>
      <c r="D74" s="2">
        <v>3</v>
      </c>
      <c r="E74" s="8">
        <v>26.481999999999999</v>
      </c>
      <c r="F74" s="8">
        <f>_xlfn.CEILING.MATH(2*Tablo1[[#This Row],[Dış Çap(ømm)]]*3.14*Tablo1[[#This Row],[Et Kalınlığı(mm)]]*3/1000*7.85*1.4/20,1)</f>
        <v>12</v>
      </c>
      <c r="G74" s="8">
        <f>_xlfn.CEILING.MATH(2*Tablo1[[#This Row],[Dış Çap(ømm)]]*3.14*Tablo1[[#This Row],[Et Kalınlığı(mm)]]*3/1000*7.85*1.4/35,1)</f>
        <v>7</v>
      </c>
    </row>
    <row r="75" spans="1:7">
      <c r="A75" s="1" t="s">
        <v>14</v>
      </c>
      <c r="B75" s="2" t="s">
        <v>26</v>
      </c>
      <c r="C75" s="2">
        <v>355.6</v>
      </c>
      <c r="D75" s="2">
        <v>4</v>
      </c>
      <c r="E75" s="8">
        <v>35.216000000000001</v>
      </c>
      <c r="F75" s="8">
        <f>_xlfn.CEILING.MATH(2*Tablo1[[#This Row],[Dış Çap(ømm)]]*3.14*Tablo1[[#This Row],[Et Kalınlığı(mm)]]*3/1000*7.85*1.4/20,1)</f>
        <v>15</v>
      </c>
      <c r="G75" s="8">
        <f>_xlfn.CEILING.MATH(2*Tablo1[[#This Row],[Dış Çap(ømm)]]*3.14*Tablo1[[#This Row],[Et Kalınlığı(mm)]]*3/1000*7.85*1.4/35,1)</f>
        <v>9</v>
      </c>
    </row>
    <row r="76" spans="1:7">
      <c r="A76" s="1" t="s">
        <v>14</v>
      </c>
      <c r="B76" s="2" t="s">
        <v>26</v>
      </c>
      <c r="C76" s="2">
        <v>355.6</v>
      </c>
      <c r="D76" s="2">
        <v>5</v>
      </c>
      <c r="E76" s="8">
        <v>43.844000000000001</v>
      </c>
      <c r="F76" s="8">
        <f>_xlfn.CEILING.MATH(2*Tablo1[[#This Row],[Dış Çap(ømm)]]*3.14*Tablo1[[#This Row],[Et Kalınlığı(mm)]]*3/1000*7.85*1.4/20,1)</f>
        <v>19</v>
      </c>
      <c r="G76" s="8">
        <f>_xlfn.CEILING.MATH(2*Tablo1[[#This Row],[Dış Çap(ømm)]]*3.14*Tablo1[[#This Row],[Et Kalınlığı(mm)]]*3/1000*7.85*1.4/35,1)</f>
        <v>11</v>
      </c>
    </row>
    <row r="77" spans="1:7">
      <c r="A77" s="1" t="s">
        <v>15</v>
      </c>
      <c r="B77" s="2" t="s">
        <v>26</v>
      </c>
      <c r="C77" s="2">
        <v>406.4</v>
      </c>
      <c r="D77" s="2">
        <v>3</v>
      </c>
      <c r="E77" s="8">
        <v>30.303000000000001</v>
      </c>
      <c r="F77" s="8">
        <f>_xlfn.CEILING.MATH(2*Tablo1[[#This Row],[Dış Çap(ømm)]]*3.14*Tablo1[[#This Row],[Et Kalınlığı(mm)]]*3/1000*7.85*1.4/20,1)</f>
        <v>13</v>
      </c>
      <c r="G77" s="8">
        <f>_xlfn.CEILING.MATH(2*Tablo1[[#This Row],[Dış Çap(ømm)]]*3.14*Tablo1[[#This Row],[Et Kalınlığı(mm)]]*3/1000*7.85*1.4/35,1)</f>
        <v>8</v>
      </c>
    </row>
    <row r="78" spans="1:7">
      <c r="A78" s="1" t="s">
        <v>15</v>
      </c>
      <c r="B78" s="2" t="s">
        <v>26</v>
      </c>
      <c r="C78" s="2">
        <v>406.4</v>
      </c>
      <c r="D78" s="2">
        <v>4</v>
      </c>
      <c r="E78" s="8">
        <v>39.665999999999997</v>
      </c>
      <c r="F78" s="8">
        <f>_xlfn.CEILING.MATH(2*Tablo1[[#This Row],[Dış Çap(ømm)]]*3.14*Tablo1[[#This Row],[Et Kalınlığı(mm)]]*3/1000*7.85*1.4/20,1)</f>
        <v>17</v>
      </c>
      <c r="G78" s="8">
        <f>_xlfn.CEILING.MATH(2*Tablo1[[#This Row],[Dış Çap(ømm)]]*3.14*Tablo1[[#This Row],[Et Kalınlığı(mm)]]*3/1000*7.85*1.4/35,1)</f>
        <v>10</v>
      </c>
    </row>
    <row r="79" spans="1:7">
      <c r="A79" s="1" t="s">
        <v>16</v>
      </c>
      <c r="B79" s="2" t="s">
        <v>26</v>
      </c>
      <c r="C79" s="2">
        <v>457.2</v>
      </c>
      <c r="D79" s="2">
        <v>3</v>
      </c>
      <c r="E79" s="8">
        <v>34.243000000000002</v>
      </c>
      <c r="F79" s="8">
        <f>_xlfn.CEILING.MATH(2*Tablo1[[#This Row],[Dış Çap(ømm)]]*3.14*Tablo1[[#This Row],[Et Kalınlığı(mm)]]*3/1000*7.85*1.4/20,1)</f>
        <v>15</v>
      </c>
      <c r="G79" s="8">
        <f>_xlfn.CEILING.MATH(2*Tablo1[[#This Row],[Dış Çap(ømm)]]*3.14*Tablo1[[#This Row],[Et Kalınlığı(mm)]]*3/1000*7.85*1.4/35,1)</f>
        <v>9</v>
      </c>
    </row>
    <row r="80" spans="1:7">
      <c r="A80" s="1" t="s">
        <v>16</v>
      </c>
      <c r="B80" s="2" t="s">
        <v>26</v>
      </c>
      <c r="C80" s="2">
        <v>457.2</v>
      </c>
      <c r="D80" s="2">
        <v>4</v>
      </c>
      <c r="E80" s="8">
        <v>45.652000000000001</v>
      </c>
      <c r="F80" s="8">
        <f>_xlfn.CEILING.MATH(2*Tablo1[[#This Row],[Dış Çap(ømm)]]*3.14*Tablo1[[#This Row],[Et Kalınlığı(mm)]]*3/1000*7.85*1.4/20,1)</f>
        <v>19</v>
      </c>
      <c r="G80" s="8">
        <f>_xlfn.CEILING.MATH(2*Tablo1[[#This Row],[Dış Çap(ømm)]]*3.14*Tablo1[[#This Row],[Et Kalınlığı(mm)]]*3/1000*7.85*1.4/35,1)</f>
        <v>11</v>
      </c>
    </row>
    <row r="81" spans="1:7">
      <c r="A81" s="1" t="s">
        <v>16</v>
      </c>
      <c r="B81" s="2" t="s">
        <v>26</v>
      </c>
      <c r="C81" s="2">
        <v>457.2</v>
      </c>
      <c r="D81" s="2">
        <v>5</v>
      </c>
      <c r="E81" s="8">
        <v>57.064999999999998</v>
      </c>
      <c r="F81" s="8">
        <f>_xlfn.CEILING.MATH(2*Tablo1[[#This Row],[Dış Çap(ømm)]]*3.14*Tablo1[[#This Row],[Et Kalınlığı(mm)]]*3/1000*7.85*1.4/20,1)</f>
        <v>24</v>
      </c>
      <c r="G81" s="8">
        <f>_xlfn.CEILING.MATH(2*Tablo1[[#This Row],[Dış Çap(ømm)]]*3.14*Tablo1[[#This Row],[Et Kalınlığı(mm)]]*3/1000*7.85*1.4/35,1)</f>
        <v>14</v>
      </c>
    </row>
    <row r="82" spans="1:7">
      <c r="A82" s="1" t="s">
        <v>17</v>
      </c>
      <c r="B82" s="2" t="s">
        <v>26</v>
      </c>
      <c r="C82" s="2">
        <v>508</v>
      </c>
      <c r="D82" s="2">
        <v>3</v>
      </c>
      <c r="E82" s="8">
        <v>38.302999999999997</v>
      </c>
      <c r="F82" s="8">
        <f>_xlfn.CEILING.MATH(2*Tablo1[[#This Row],[Dış Çap(ømm)]]*3.14*Tablo1[[#This Row],[Et Kalınlığı(mm)]]*3/1000*7.85*1.4/20,1)</f>
        <v>16</v>
      </c>
      <c r="G82" s="8">
        <f>_xlfn.CEILING.MATH(2*Tablo1[[#This Row],[Dış Çap(ømm)]]*3.14*Tablo1[[#This Row],[Et Kalınlığı(mm)]]*3/1000*7.85*1.4/35,1)</f>
        <v>10</v>
      </c>
    </row>
    <row r="83" spans="1:7">
      <c r="A83" s="1" t="s">
        <v>17</v>
      </c>
      <c r="B83" s="2" t="s">
        <v>26</v>
      </c>
      <c r="C83" s="2">
        <v>508</v>
      </c>
      <c r="D83" s="2">
        <v>4</v>
      </c>
      <c r="E83" s="8">
        <v>50.441000000000003</v>
      </c>
      <c r="F83" s="8">
        <f>_xlfn.CEILING.MATH(2*Tablo1[[#This Row],[Dış Çap(ømm)]]*3.14*Tablo1[[#This Row],[Et Kalınlığı(mm)]]*3/1000*7.85*1.4/20,1)</f>
        <v>22</v>
      </c>
      <c r="G83" s="8">
        <f>_xlfn.CEILING.MATH(2*Tablo1[[#This Row],[Dış Çap(ømm)]]*3.14*Tablo1[[#This Row],[Et Kalınlığı(mm)]]*3/1000*7.85*1.4/35,1)</f>
        <v>13</v>
      </c>
    </row>
    <row r="84" spans="1:7">
      <c r="A84" s="1" t="s">
        <v>17</v>
      </c>
      <c r="B84" s="2" t="s">
        <v>26</v>
      </c>
      <c r="C84" s="2">
        <v>508</v>
      </c>
      <c r="D84" s="2">
        <v>5</v>
      </c>
      <c r="E84" s="8">
        <v>63.405999999999999</v>
      </c>
      <c r="F84" s="8">
        <f>_xlfn.CEILING.MATH(2*Tablo1[[#This Row],[Dış Çap(ømm)]]*3.14*Tablo1[[#This Row],[Et Kalınlığı(mm)]]*3/1000*7.85*1.4/20,1)</f>
        <v>27</v>
      </c>
      <c r="G84" s="8">
        <f>_xlfn.CEILING.MATH(2*Tablo1[[#This Row],[Dış Çap(ømm)]]*3.14*Tablo1[[#This Row],[Et Kalınlığı(mm)]]*3/1000*7.85*1.4/35,1)</f>
        <v>16</v>
      </c>
    </row>
    <row r="85" spans="1:7">
      <c r="A85" s="1" t="s">
        <v>18</v>
      </c>
      <c r="B85" s="2" t="s">
        <v>26</v>
      </c>
      <c r="C85" s="2">
        <v>609.6</v>
      </c>
      <c r="D85" s="2">
        <v>4</v>
      </c>
      <c r="E85" s="8">
        <v>60.869</v>
      </c>
      <c r="F85" s="8">
        <f>_xlfn.CEILING.MATH(2*Tablo1[[#This Row],[Dış Çap(ømm)]]*3.14*Tablo1[[#This Row],[Et Kalınlığı(mm)]]*3/1000*7.85*1.4/20,1)</f>
        <v>26</v>
      </c>
      <c r="G85" s="8">
        <f>_xlfn.CEILING.MATH(2*Tablo1[[#This Row],[Dış Çap(ømm)]]*3.14*Tablo1[[#This Row],[Et Kalınlığı(mm)]]*3/1000*7.85*1.4/35,1)</f>
        <v>15</v>
      </c>
    </row>
    <row r="86" spans="1:7">
      <c r="A86" s="1" t="s">
        <v>18</v>
      </c>
      <c r="B86" s="2" t="s">
        <v>26</v>
      </c>
      <c r="C86" s="2">
        <v>609.6</v>
      </c>
      <c r="D86" s="2">
        <v>5</v>
      </c>
      <c r="E86" s="8">
        <v>76.087000000000003</v>
      </c>
      <c r="F86" s="8">
        <f>_xlfn.CEILING.MATH(2*Tablo1[[#This Row],[Dış Çap(ømm)]]*3.14*Tablo1[[#This Row],[Et Kalınlığı(mm)]]*3/1000*7.85*1.4/20,1)</f>
        <v>32</v>
      </c>
      <c r="G86" s="8">
        <f>_xlfn.CEILING.MATH(2*Tablo1[[#This Row],[Dış Çap(ømm)]]*3.14*Tablo1[[#This Row],[Et Kalınlığı(mm)]]*3/1000*7.85*1.4/35,1)</f>
        <v>19</v>
      </c>
    </row>
    <row r="87" spans="1:7">
      <c r="A87" s="1" t="s">
        <v>19</v>
      </c>
      <c r="B87" s="2" t="s">
        <v>26</v>
      </c>
      <c r="C87" s="2">
        <v>711.2</v>
      </c>
      <c r="D87" s="2">
        <v>6.35</v>
      </c>
      <c r="E87" s="8">
        <v>112.74</v>
      </c>
      <c r="F87" s="8">
        <f>_xlfn.CEILING.MATH(2*Tablo1[[#This Row],[Dış Çap(ømm)]]*3.14*Tablo1[[#This Row],[Et Kalınlığı(mm)]]*3/1000*7.85*1.4/20,1)</f>
        <v>47</v>
      </c>
      <c r="G87" s="8">
        <f>_xlfn.CEILING.MATH(2*Tablo1[[#This Row],[Dış Çap(ømm)]]*3.14*Tablo1[[#This Row],[Et Kalınlığı(mm)]]*3/1000*7.85*1.4/35,1)</f>
        <v>27</v>
      </c>
    </row>
    <row r="88" spans="1:7">
      <c r="A88" s="1" t="s">
        <v>19</v>
      </c>
      <c r="B88" s="2" t="s">
        <v>26</v>
      </c>
      <c r="C88" s="2">
        <v>711.2</v>
      </c>
      <c r="D88" s="2">
        <v>7.92</v>
      </c>
      <c r="E88" s="8">
        <v>140.61000000000001</v>
      </c>
      <c r="F88" s="8">
        <f>_xlfn.CEILING.MATH(2*Tablo1[[#This Row],[Dış Çap(ømm)]]*3.14*Tablo1[[#This Row],[Et Kalınlığı(mm)]]*3/1000*7.85*1.4/20,1)</f>
        <v>59</v>
      </c>
      <c r="G88" s="8">
        <f>_xlfn.CEILING.MATH(2*Tablo1[[#This Row],[Dış Çap(ømm)]]*3.14*Tablo1[[#This Row],[Et Kalınlığı(mm)]]*3/1000*7.85*1.4/35,1)</f>
        <v>34</v>
      </c>
    </row>
    <row r="89" spans="1:7">
      <c r="A89" s="1" t="s">
        <v>19</v>
      </c>
      <c r="B89" s="2" t="s">
        <v>26</v>
      </c>
      <c r="C89" s="2">
        <v>711.2</v>
      </c>
      <c r="D89" s="2">
        <v>9.52</v>
      </c>
      <c r="E89" s="8">
        <v>169.01499999999999</v>
      </c>
      <c r="F89" s="8">
        <f>_xlfn.CEILING.MATH(2*Tablo1[[#This Row],[Dış Çap(ømm)]]*3.14*Tablo1[[#This Row],[Et Kalınlığı(mm)]]*3/1000*7.85*1.4/20,1)</f>
        <v>71</v>
      </c>
      <c r="G89" s="8">
        <f>_xlfn.CEILING.MATH(2*Tablo1[[#This Row],[Dış Çap(ømm)]]*3.14*Tablo1[[#This Row],[Et Kalınlığı(mm)]]*3/1000*7.85*1.4/35,1)</f>
        <v>41</v>
      </c>
    </row>
    <row r="90" spans="1:7">
      <c r="A90" s="1" t="s">
        <v>19</v>
      </c>
      <c r="B90" s="2" t="s">
        <v>26</v>
      </c>
      <c r="C90" s="2">
        <v>711.2</v>
      </c>
      <c r="D90" s="2">
        <v>12.7</v>
      </c>
      <c r="E90" s="8">
        <v>225.471</v>
      </c>
      <c r="F90" s="8">
        <f>_xlfn.CEILING.MATH(2*Tablo1[[#This Row],[Dış Çap(ømm)]]*3.14*Tablo1[[#This Row],[Et Kalınlığı(mm)]]*3/1000*7.85*1.4/20,1)</f>
        <v>94</v>
      </c>
      <c r="G90" s="8">
        <f>_xlfn.CEILING.MATH(2*Tablo1[[#This Row],[Dış Çap(ømm)]]*3.14*Tablo1[[#This Row],[Et Kalınlığı(mm)]]*3/1000*7.85*1.4/35,1)</f>
        <v>54</v>
      </c>
    </row>
    <row r="91" spans="1:7">
      <c r="A91" s="1" t="s">
        <v>20</v>
      </c>
      <c r="B91" s="2" t="s">
        <v>26</v>
      </c>
      <c r="C91" s="2">
        <v>812.8</v>
      </c>
      <c r="D91" s="2">
        <v>9.52</v>
      </c>
      <c r="E91" s="8">
        <v>193.16</v>
      </c>
      <c r="F91" s="8">
        <f>_xlfn.CEILING.MATH(2*Tablo1[[#This Row],[Dış Çap(ømm)]]*3.14*Tablo1[[#This Row],[Et Kalınlığı(mm)]]*3/1000*7.85*1.4/20,1)</f>
        <v>81</v>
      </c>
      <c r="G91" s="8">
        <f>_xlfn.CEILING.MATH(2*Tablo1[[#This Row],[Dış Çap(ømm)]]*3.14*Tablo1[[#This Row],[Et Kalınlığı(mm)]]*3/1000*7.85*1.4/35,1)</f>
        <v>46</v>
      </c>
    </row>
    <row r="92" spans="1:7">
      <c r="A92" s="1" t="s">
        <v>20</v>
      </c>
      <c r="B92" s="2" t="s">
        <v>26</v>
      </c>
      <c r="C92" s="2">
        <v>812.8</v>
      </c>
      <c r="D92" s="2">
        <v>12.7</v>
      </c>
      <c r="E92" s="8">
        <v>257.68200000000002</v>
      </c>
      <c r="F92" s="8">
        <f>_xlfn.CEILING.MATH(2*Tablo1[[#This Row],[Dış Çap(ømm)]]*3.14*Tablo1[[#This Row],[Et Kalınlığı(mm)]]*3/1000*7.85*1.4/20,1)</f>
        <v>107</v>
      </c>
      <c r="G92" s="8">
        <f>_xlfn.CEILING.MATH(2*Tablo1[[#This Row],[Dış Çap(ømm)]]*3.14*Tablo1[[#This Row],[Et Kalınlığı(mm)]]*3/1000*7.85*1.4/35,1)</f>
        <v>62</v>
      </c>
    </row>
    <row r="93" spans="1:7">
      <c r="A93" s="1" t="s">
        <v>21</v>
      </c>
      <c r="B93" s="2" t="s">
        <v>26</v>
      </c>
      <c r="C93" s="2">
        <v>914.4</v>
      </c>
      <c r="D93" s="2">
        <v>9.52</v>
      </c>
      <c r="E93" s="8">
        <v>217.30500000000001</v>
      </c>
      <c r="F93" s="8">
        <f>_xlfn.CEILING.MATH(2*Tablo1[[#This Row],[Dış Çap(ømm)]]*3.14*Tablo1[[#This Row],[Et Kalınlığı(mm)]]*3/1000*7.85*1.4/20,1)</f>
        <v>91</v>
      </c>
      <c r="G93" s="8">
        <f>_xlfn.CEILING.MATH(2*Tablo1[[#This Row],[Dış Çap(ømm)]]*3.14*Tablo1[[#This Row],[Et Kalınlığı(mm)]]*3/1000*7.85*1.4/35,1)</f>
        <v>52</v>
      </c>
    </row>
    <row r="94" spans="1:7">
      <c r="A94" s="1" t="s">
        <v>21</v>
      </c>
      <c r="B94" s="2" t="s">
        <v>26</v>
      </c>
      <c r="C94" s="2">
        <v>914.4</v>
      </c>
      <c r="D94" s="2">
        <v>12.7</v>
      </c>
      <c r="E94" s="8">
        <v>289.892</v>
      </c>
      <c r="F94" s="8">
        <f>_xlfn.CEILING.MATH(2*Tablo1[[#This Row],[Dış Çap(ømm)]]*3.14*Tablo1[[#This Row],[Et Kalınlığı(mm)]]*3/1000*7.85*1.4/20,1)</f>
        <v>121</v>
      </c>
      <c r="G94" s="8">
        <f>_xlfn.CEILING.MATH(2*Tablo1[[#This Row],[Dış Çap(ømm)]]*3.14*Tablo1[[#This Row],[Et Kalınlığı(mm)]]*3/1000*7.85*1.4/35,1)</f>
        <v>69</v>
      </c>
    </row>
    <row r="95" spans="1:7">
      <c r="A95" s="1" t="s">
        <v>22</v>
      </c>
      <c r="B95" s="2" t="s">
        <v>26</v>
      </c>
      <c r="C95" s="2">
        <v>1016</v>
      </c>
      <c r="D95" s="2">
        <v>12.7</v>
      </c>
      <c r="E95" s="8">
        <v>322.10199999999998</v>
      </c>
      <c r="F95" s="8">
        <f>_xlfn.CEILING.MATH(2*Tablo1[[#This Row],[Dış Çap(ømm)]]*3.14*Tablo1[[#This Row],[Et Kalınlığı(mm)]]*3/1000*7.85*1.4/20,1)</f>
        <v>134</v>
      </c>
      <c r="G95" s="8">
        <f>_xlfn.CEILING.MATH(2*Tablo1[[#This Row],[Dış Çap(ømm)]]*3.14*Tablo1[[#This Row],[Et Kalınlığı(mm)]]*3/1000*7.85*1.4/35,1)</f>
        <v>77</v>
      </c>
    </row>
    <row r="96" spans="1:7">
      <c r="A96" s="1" t="s">
        <v>0</v>
      </c>
      <c r="B96" s="2" t="s">
        <v>48</v>
      </c>
      <c r="C96" s="2">
        <v>21.3</v>
      </c>
      <c r="D96" s="2">
        <v>1.5</v>
      </c>
      <c r="E96" s="8">
        <f>Tablo1[[#This Row],[Dış Çap(ømm)]]/$C$140/$D$140*Tablo1[[#This Row],[Et Kalınlığı(mm)]]</f>
        <v>0.13976377952755906</v>
      </c>
      <c r="F96" s="8">
        <f>_xlfn.CEILING.MATH(2*Tablo1[[#This Row],[Dış Çap(ømm)]]*3.14*Tablo1[[#This Row],[Et Kalınlığı(mm)]]*3/1000*7.85*1.4/20,1)</f>
        <v>1</v>
      </c>
      <c r="G96" s="8">
        <f>_xlfn.CEILING.MATH(2*Tablo1[[#This Row],[Dış Çap(ømm)]]*3.14*Tablo1[[#This Row],[Et Kalınlığı(mm)]]*3/1000*7.85*1.4/35,1)</f>
        <v>1</v>
      </c>
    </row>
    <row r="97" spans="1:7">
      <c r="A97" s="1" t="s">
        <v>0</v>
      </c>
      <c r="B97" s="2" t="s">
        <v>48</v>
      </c>
      <c r="C97" s="2">
        <v>21.3</v>
      </c>
      <c r="D97" s="2">
        <v>1.6</v>
      </c>
      <c r="E97" s="8">
        <f>Tablo1[[#This Row],[Dış Çap(ømm)]]/$C$140/$D$140*Tablo1[[#This Row],[Et Kalınlığı(mm)]]</f>
        <v>0.14908136482939635</v>
      </c>
      <c r="F97" s="8">
        <f>_xlfn.CEILING.MATH(2*Tablo1[[#This Row],[Dış Çap(ømm)]]*3.14*Tablo1[[#This Row],[Et Kalınlığı(mm)]]*3/1000*7.85*1.4/20,1)</f>
        <v>1</v>
      </c>
      <c r="G97" s="8">
        <f>_xlfn.CEILING.MATH(2*Tablo1[[#This Row],[Dış Çap(ømm)]]*3.14*Tablo1[[#This Row],[Et Kalınlığı(mm)]]*3/1000*7.85*1.4/35,1)</f>
        <v>1</v>
      </c>
    </row>
    <row r="98" spans="1:7">
      <c r="A98" s="1" t="s">
        <v>0</v>
      </c>
      <c r="B98" s="2" t="s">
        <v>48</v>
      </c>
      <c r="C98" s="2">
        <v>21.3</v>
      </c>
      <c r="D98" s="2">
        <v>2</v>
      </c>
      <c r="E98" s="8">
        <f>Tablo1[[#This Row],[Dış Çap(ømm)]]/$C$140/$D$140*Tablo1[[#This Row],[Et Kalınlığı(mm)]]</f>
        <v>0.18635170603674542</v>
      </c>
      <c r="F98" s="8">
        <f>_xlfn.CEILING.MATH(2*Tablo1[[#This Row],[Dış Çap(ømm)]]*3.14*Tablo1[[#This Row],[Et Kalınlığı(mm)]]*3/1000*7.85*1.4/20,1)</f>
        <v>1</v>
      </c>
      <c r="G98" s="8">
        <f>_xlfn.CEILING.MATH(2*Tablo1[[#This Row],[Dış Çap(ømm)]]*3.14*Tablo1[[#This Row],[Et Kalınlığı(mm)]]*3/1000*7.85*1.4/35,1)</f>
        <v>1</v>
      </c>
    </row>
    <row r="99" spans="1:7">
      <c r="A99" s="1" t="s">
        <v>0</v>
      </c>
      <c r="B99" s="2" t="s">
        <v>48</v>
      </c>
      <c r="C99" s="2">
        <v>21.3</v>
      </c>
      <c r="D99" s="2">
        <v>2.5</v>
      </c>
      <c r="E99" s="8">
        <f>Tablo1[[#This Row],[Dış Çap(ømm)]]/$C$140/$D$140*Tablo1[[#This Row],[Et Kalınlığı(mm)]]</f>
        <v>0.23293963254593178</v>
      </c>
      <c r="F99" s="8">
        <f>_xlfn.CEILING.MATH(2*Tablo1[[#This Row],[Dış Çap(ømm)]]*3.14*Tablo1[[#This Row],[Et Kalınlığı(mm)]]*3/1000*7.85*1.4/20,1)</f>
        <v>1</v>
      </c>
      <c r="G99" s="8">
        <f>_xlfn.CEILING.MATH(2*Tablo1[[#This Row],[Dış Çap(ømm)]]*3.14*Tablo1[[#This Row],[Et Kalınlığı(mm)]]*3/1000*7.85*1.4/35,1)</f>
        <v>1</v>
      </c>
    </row>
    <row r="100" spans="1:7">
      <c r="A100" s="1" t="s">
        <v>0</v>
      </c>
      <c r="B100" s="2" t="s">
        <v>48</v>
      </c>
      <c r="C100" s="2">
        <v>21.3</v>
      </c>
      <c r="D100" s="2">
        <v>2.5</v>
      </c>
      <c r="E100" s="8">
        <f>Tablo1[[#This Row],[Dış Çap(ømm)]]/$C$140/$D$140*Tablo1[[#This Row],[Et Kalınlığı(mm)]]</f>
        <v>0.23293963254593178</v>
      </c>
      <c r="F100" s="8">
        <f>_xlfn.CEILING.MATH(2*Tablo1[[#This Row],[Dış Çap(ømm)]]*3.14*Tablo1[[#This Row],[Et Kalınlığı(mm)]]*3/1000*7.85*1.4/20,1)</f>
        <v>1</v>
      </c>
      <c r="G100" s="8">
        <f>_xlfn.CEILING.MATH(2*Tablo1[[#This Row],[Dış Çap(ømm)]]*3.14*Tablo1[[#This Row],[Et Kalınlığı(mm)]]*3/1000*7.85*1.4/35,1)</f>
        <v>1</v>
      </c>
    </row>
    <row r="101" spans="1:7">
      <c r="A101" s="1" t="s">
        <v>0</v>
      </c>
      <c r="B101" s="2" t="s">
        <v>48</v>
      </c>
      <c r="C101" s="2">
        <v>21.3</v>
      </c>
      <c r="D101" s="2">
        <v>2.6</v>
      </c>
      <c r="E101" s="8">
        <f>Tablo1[[#This Row],[Dış Çap(ømm)]]/$C$140/$D$140*Tablo1[[#This Row],[Et Kalınlığı(mm)]]</f>
        <v>0.24225721784776905</v>
      </c>
      <c r="F101" s="8">
        <f>_xlfn.CEILING.MATH(2*Tablo1[[#This Row],[Dış Çap(ømm)]]*3.14*Tablo1[[#This Row],[Et Kalınlığı(mm)]]*3/1000*7.85*1.4/20,1)</f>
        <v>1</v>
      </c>
      <c r="G101" s="8">
        <f>_xlfn.CEILING.MATH(2*Tablo1[[#This Row],[Dış Çap(ømm)]]*3.14*Tablo1[[#This Row],[Et Kalınlığı(mm)]]*3/1000*7.85*1.4/35,1)</f>
        <v>1</v>
      </c>
    </row>
    <row r="102" spans="1:7">
      <c r="A102" s="1" t="s">
        <v>1</v>
      </c>
      <c r="B102" s="2" t="s">
        <v>48</v>
      </c>
      <c r="C102" s="2">
        <v>25.4</v>
      </c>
      <c r="D102" s="2">
        <v>1.5</v>
      </c>
      <c r="E102" s="8">
        <f>Tablo1[[#This Row],[Dış Çap(ømm)]]/$C$140/$D$140*Tablo1[[#This Row],[Et Kalınlığı(mm)]]</f>
        <v>0.16666666666666666</v>
      </c>
      <c r="F102" s="8">
        <f>_xlfn.CEILING.MATH(2*Tablo1[[#This Row],[Dış Çap(ømm)]]*3.14*Tablo1[[#This Row],[Et Kalınlığı(mm)]]*3/1000*7.85*1.4/20,1)</f>
        <v>1</v>
      </c>
      <c r="G102" s="8">
        <f>_xlfn.CEILING.MATH(2*Tablo1[[#This Row],[Dış Çap(ømm)]]*3.14*Tablo1[[#This Row],[Et Kalınlığı(mm)]]*3/1000*7.85*1.4/35,1)</f>
        <v>1</v>
      </c>
    </row>
    <row r="103" spans="1:7">
      <c r="A103" s="1" t="s">
        <v>1</v>
      </c>
      <c r="B103" s="2" t="s">
        <v>48</v>
      </c>
      <c r="C103" s="2">
        <v>25.4</v>
      </c>
      <c r="D103" s="2">
        <v>1.6</v>
      </c>
      <c r="E103" s="8">
        <f>Tablo1[[#This Row],[Dış Çap(ømm)]]/$C$140/$D$140*Tablo1[[#This Row],[Et Kalınlığı(mm)]]</f>
        <v>0.17777777777777778</v>
      </c>
      <c r="F103" s="8">
        <f>_xlfn.CEILING.MATH(2*Tablo1[[#This Row],[Dış Çap(ømm)]]*3.14*Tablo1[[#This Row],[Et Kalınlığı(mm)]]*3/1000*7.85*1.4/20,1)</f>
        <v>1</v>
      </c>
      <c r="G103" s="8">
        <f>_xlfn.CEILING.MATH(2*Tablo1[[#This Row],[Dış Çap(ømm)]]*3.14*Tablo1[[#This Row],[Et Kalınlığı(mm)]]*3/1000*7.85*1.4/35,1)</f>
        <v>1</v>
      </c>
    </row>
    <row r="104" spans="1:7">
      <c r="A104" s="1" t="s">
        <v>1</v>
      </c>
      <c r="B104" s="2" t="s">
        <v>48</v>
      </c>
      <c r="C104" s="2">
        <v>25.4</v>
      </c>
      <c r="D104" s="2">
        <v>1.8</v>
      </c>
      <c r="E104" s="8">
        <f>Tablo1[[#This Row],[Dış Çap(ømm)]]/$C$140/$D$140*Tablo1[[#This Row],[Et Kalınlığı(mm)]]</f>
        <v>0.19999999999999998</v>
      </c>
      <c r="F104" s="8">
        <f>_xlfn.CEILING.MATH(2*Tablo1[[#This Row],[Dış Çap(ømm)]]*3.14*Tablo1[[#This Row],[Et Kalınlığı(mm)]]*3/1000*7.85*1.4/20,1)</f>
        <v>1</v>
      </c>
      <c r="G104" s="8">
        <f>_xlfn.CEILING.MATH(2*Tablo1[[#This Row],[Dış Çap(ømm)]]*3.14*Tablo1[[#This Row],[Et Kalınlığı(mm)]]*3/1000*7.85*1.4/35,1)</f>
        <v>1</v>
      </c>
    </row>
    <row r="105" spans="1:7">
      <c r="A105" s="1" t="s">
        <v>1</v>
      </c>
      <c r="B105" s="2" t="s">
        <v>48</v>
      </c>
      <c r="C105" s="2">
        <v>25.4</v>
      </c>
      <c r="D105" s="2">
        <v>2</v>
      </c>
      <c r="E105" s="8">
        <f>Tablo1[[#This Row],[Dış Çap(ømm)]]/$C$140/$D$140*Tablo1[[#This Row],[Et Kalınlığı(mm)]]</f>
        <v>0.22222222222222221</v>
      </c>
      <c r="F105" s="8">
        <f>_xlfn.CEILING.MATH(2*Tablo1[[#This Row],[Dış Çap(ømm)]]*3.14*Tablo1[[#This Row],[Et Kalınlığı(mm)]]*3/1000*7.85*1.4/20,1)</f>
        <v>1</v>
      </c>
      <c r="G105" s="8">
        <f>_xlfn.CEILING.MATH(2*Tablo1[[#This Row],[Dış Çap(ømm)]]*3.14*Tablo1[[#This Row],[Et Kalınlığı(mm)]]*3/1000*7.85*1.4/35,1)</f>
        <v>1</v>
      </c>
    </row>
    <row r="106" spans="1:7">
      <c r="A106" s="1" t="s">
        <v>1</v>
      </c>
      <c r="B106" s="2" t="s">
        <v>48</v>
      </c>
      <c r="C106" s="2">
        <v>25.4</v>
      </c>
      <c r="D106" s="2">
        <v>3</v>
      </c>
      <c r="E106" s="8">
        <f>Tablo1[[#This Row],[Dış Çap(ømm)]]/$C$140/$D$140*Tablo1[[#This Row],[Et Kalınlığı(mm)]]</f>
        <v>0.33333333333333331</v>
      </c>
      <c r="F106" s="8">
        <f>_xlfn.CEILING.MATH(2*Tablo1[[#This Row],[Dış Çap(ømm)]]*3.14*Tablo1[[#This Row],[Et Kalınlığı(mm)]]*3/1000*7.85*1.4/20,1)</f>
        <v>1</v>
      </c>
      <c r="G106" s="8">
        <f>_xlfn.CEILING.MATH(2*Tablo1[[#This Row],[Dış Çap(ømm)]]*3.14*Tablo1[[#This Row],[Et Kalınlığı(mm)]]*3/1000*7.85*1.4/35,1)</f>
        <v>1</v>
      </c>
    </row>
    <row r="107" spans="1:7">
      <c r="A107" s="1" t="s">
        <v>2</v>
      </c>
      <c r="B107" s="2" t="s">
        <v>48</v>
      </c>
      <c r="C107" s="2">
        <v>33.700000000000003</v>
      </c>
      <c r="D107" s="2">
        <v>1.5</v>
      </c>
      <c r="E107" s="8">
        <f>Tablo1[[#This Row],[Dış Çap(ømm)]]/$C$140/$D$140*Tablo1[[#This Row],[Et Kalınlığı(mm)]]</f>
        <v>0.22112860892388453</v>
      </c>
      <c r="F107" s="8">
        <f>_xlfn.CEILING.MATH(2*Tablo1[[#This Row],[Dış Çap(ømm)]]*3.14*Tablo1[[#This Row],[Et Kalınlığı(mm)]]*3/1000*7.85*1.4/20,1)</f>
        <v>1</v>
      </c>
      <c r="G107" s="8">
        <f>_xlfn.CEILING.MATH(2*Tablo1[[#This Row],[Dış Çap(ømm)]]*3.14*Tablo1[[#This Row],[Et Kalınlığı(mm)]]*3/1000*7.85*1.4/35,1)</f>
        <v>1</v>
      </c>
    </row>
    <row r="108" spans="1:7">
      <c r="A108" s="1" t="s">
        <v>2</v>
      </c>
      <c r="B108" s="2" t="s">
        <v>48</v>
      </c>
      <c r="C108" s="2">
        <v>33.700000000000003</v>
      </c>
      <c r="D108" s="2">
        <v>2</v>
      </c>
      <c r="E108" s="8">
        <f>Tablo1[[#This Row],[Dış Çap(ømm)]]/$C$140/$D$140*Tablo1[[#This Row],[Et Kalınlığı(mm)]]</f>
        <v>0.29483814523184604</v>
      </c>
      <c r="F108" s="8">
        <f>_xlfn.CEILING.MATH(2*Tablo1[[#This Row],[Dış Çap(ømm)]]*3.14*Tablo1[[#This Row],[Et Kalınlığı(mm)]]*3/1000*7.85*1.4/20,1)</f>
        <v>1</v>
      </c>
      <c r="G108" s="8">
        <f>_xlfn.CEILING.MATH(2*Tablo1[[#This Row],[Dış Çap(ømm)]]*3.14*Tablo1[[#This Row],[Et Kalınlığı(mm)]]*3/1000*7.85*1.4/35,1)</f>
        <v>1</v>
      </c>
    </row>
    <row r="109" spans="1:7">
      <c r="A109" s="1" t="s">
        <v>2</v>
      </c>
      <c r="B109" s="2" t="s">
        <v>48</v>
      </c>
      <c r="C109" s="2">
        <v>33.700000000000003</v>
      </c>
      <c r="D109" s="2">
        <v>2.6</v>
      </c>
      <c r="E109" s="8">
        <f>Tablo1[[#This Row],[Dış Çap(ømm)]]/$C$140/$D$140*Tablo1[[#This Row],[Et Kalınlığı(mm)]]</f>
        <v>0.38328958880139985</v>
      </c>
      <c r="F109" s="8">
        <f>_xlfn.CEILING.MATH(2*Tablo1[[#This Row],[Dış Çap(ømm)]]*3.14*Tablo1[[#This Row],[Et Kalınlığı(mm)]]*3/1000*7.85*1.4/20,1)</f>
        <v>1</v>
      </c>
      <c r="G109" s="8">
        <f>_xlfn.CEILING.MATH(2*Tablo1[[#This Row],[Dış Çap(ømm)]]*3.14*Tablo1[[#This Row],[Et Kalınlığı(mm)]]*3/1000*7.85*1.4/35,1)</f>
        <v>1</v>
      </c>
    </row>
    <row r="110" spans="1:7">
      <c r="A110" s="1" t="s">
        <v>2</v>
      </c>
      <c r="B110" s="2" t="s">
        <v>48</v>
      </c>
      <c r="C110" s="2">
        <v>33.700000000000003</v>
      </c>
      <c r="D110" s="2">
        <v>2.7</v>
      </c>
      <c r="E110" s="8">
        <f>Tablo1[[#This Row],[Dış Çap(ømm)]]/$C$140/$D$140*Tablo1[[#This Row],[Et Kalınlığı(mm)]]</f>
        <v>0.39803149606299215</v>
      </c>
      <c r="F110" s="8">
        <f>_xlfn.CEILING.MATH(2*Tablo1[[#This Row],[Dış Çap(ømm)]]*3.14*Tablo1[[#This Row],[Et Kalınlığı(mm)]]*3/1000*7.85*1.4/20,1)</f>
        <v>1</v>
      </c>
      <c r="G110" s="8">
        <f>_xlfn.CEILING.MATH(2*Tablo1[[#This Row],[Dış Çap(ømm)]]*3.14*Tablo1[[#This Row],[Et Kalınlığı(mm)]]*3/1000*7.85*1.4/35,1)</f>
        <v>1</v>
      </c>
    </row>
    <row r="111" spans="1:7">
      <c r="A111" s="1" t="s">
        <v>2</v>
      </c>
      <c r="B111" s="2" t="s">
        <v>48</v>
      </c>
      <c r="C111" s="2">
        <v>33.700000000000003</v>
      </c>
      <c r="D111" s="2">
        <v>3</v>
      </c>
      <c r="E111" s="8">
        <f>Tablo1[[#This Row],[Dış Çap(ømm)]]/$C$140/$D$140*Tablo1[[#This Row],[Et Kalınlığı(mm)]]</f>
        <v>0.44225721784776906</v>
      </c>
      <c r="F111" s="8">
        <f>_xlfn.CEILING.MATH(2*Tablo1[[#This Row],[Dış Çap(ømm)]]*3.14*Tablo1[[#This Row],[Et Kalınlığı(mm)]]*3/1000*7.85*1.4/20,1)</f>
        <v>2</v>
      </c>
      <c r="G111" s="8">
        <f>_xlfn.CEILING.MATH(2*Tablo1[[#This Row],[Dış Çap(ømm)]]*3.14*Tablo1[[#This Row],[Et Kalınlığı(mm)]]*3/1000*7.85*1.4/35,1)</f>
        <v>1</v>
      </c>
    </row>
    <row r="112" spans="1:7">
      <c r="A112" s="1" t="s">
        <v>2</v>
      </c>
      <c r="B112" s="2" t="s">
        <v>48</v>
      </c>
      <c r="C112" s="2">
        <v>33.700000000000003</v>
      </c>
      <c r="D112" s="2">
        <v>3.38</v>
      </c>
      <c r="E112" s="8">
        <f>Tablo1[[#This Row],[Dış Çap(ømm)]]/$C$140/$D$140*Tablo1[[#This Row],[Et Kalınlığı(mm)]]</f>
        <v>0.4982764654418198</v>
      </c>
      <c r="F112" s="8">
        <f>_xlfn.CEILING.MATH(2*Tablo1[[#This Row],[Dış Çap(ømm)]]*3.14*Tablo1[[#This Row],[Et Kalınlığı(mm)]]*3/1000*7.85*1.4/20,1)</f>
        <v>2</v>
      </c>
      <c r="G112" s="8">
        <f>_xlfn.CEILING.MATH(2*Tablo1[[#This Row],[Dış Çap(ømm)]]*3.14*Tablo1[[#This Row],[Et Kalınlığı(mm)]]*3/1000*7.85*1.4/35,1)</f>
        <v>1</v>
      </c>
    </row>
    <row r="113" spans="1:7">
      <c r="A113" s="1" t="s">
        <v>3</v>
      </c>
      <c r="B113" s="2" t="s">
        <v>48</v>
      </c>
      <c r="C113" s="2">
        <v>42.4</v>
      </c>
      <c r="D113" s="2">
        <v>1.5</v>
      </c>
      <c r="E113" s="8">
        <f>Tablo1[[#This Row],[Dış Çap(ømm)]]/$C$140/$D$140*Tablo1[[#This Row],[Et Kalınlığı(mm)]]</f>
        <v>0.27821522309711283</v>
      </c>
      <c r="F113" s="8">
        <f>_xlfn.CEILING.MATH(2*Tablo1[[#This Row],[Dış Çap(ømm)]]*3.14*Tablo1[[#This Row],[Et Kalınlığı(mm)]]*3/1000*7.85*1.4/20,1)</f>
        <v>1</v>
      </c>
      <c r="G113" s="8">
        <f>_xlfn.CEILING.MATH(2*Tablo1[[#This Row],[Dış Çap(ømm)]]*3.14*Tablo1[[#This Row],[Et Kalınlığı(mm)]]*3/1000*7.85*1.4/35,1)</f>
        <v>1</v>
      </c>
    </row>
    <row r="114" spans="1:7">
      <c r="A114" s="1" t="s">
        <v>3</v>
      </c>
      <c r="B114" s="2" t="s">
        <v>48</v>
      </c>
      <c r="C114" s="2">
        <v>42.4</v>
      </c>
      <c r="D114" s="2">
        <v>2</v>
      </c>
      <c r="E114" s="8">
        <f>Tablo1[[#This Row],[Dış Çap(ømm)]]/$C$140/$D$140*Tablo1[[#This Row],[Et Kalınlığı(mm)]]</f>
        <v>0.37095363079615046</v>
      </c>
      <c r="F114" s="8">
        <f>_xlfn.CEILING.MATH(2*Tablo1[[#This Row],[Dış Çap(ømm)]]*3.14*Tablo1[[#This Row],[Et Kalınlığı(mm)]]*3/1000*7.85*1.4/20,1)</f>
        <v>1</v>
      </c>
      <c r="G114" s="8">
        <f>_xlfn.CEILING.MATH(2*Tablo1[[#This Row],[Dış Çap(ømm)]]*3.14*Tablo1[[#This Row],[Et Kalınlığı(mm)]]*3/1000*7.85*1.4/35,1)</f>
        <v>1</v>
      </c>
    </row>
    <row r="115" spans="1:7">
      <c r="A115" s="1" t="s">
        <v>3</v>
      </c>
      <c r="B115" s="2" t="s">
        <v>48</v>
      </c>
      <c r="C115" s="2">
        <v>42.4</v>
      </c>
      <c r="D115" s="2">
        <v>2.6</v>
      </c>
      <c r="E115" s="8">
        <f>Tablo1[[#This Row],[Dış Çap(ømm)]]/$C$140/$D$140*Tablo1[[#This Row],[Et Kalınlığı(mm)]]</f>
        <v>0.4822397200349956</v>
      </c>
      <c r="F115" s="8">
        <f>_xlfn.CEILING.MATH(2*Tablo1[[#This Row],[Dış Çap(ømm)]]*3.14*Tablo1[[#This Row],[Et Kalınlığı(mm)]]*3/1000*7.85*1.4/20,1)</f>
        <v>2</v>
      </c>
      <c r="G115" s="8">
        <f>_xlfn.CEILING.MATH(2*Tablo1[[#This Row],[Dış Çap(ømm)]]*3.14*Tablo1[[#This Row],[Et Kalınlığı(mm)]]*3/1000*7.85*1.4/35,1)</f>
        <v>1</v>
      </c>
    </row>
    <row r="116" spans="1:7">
      <c r="A116" s="1" t="s">
        <v>3</v>
      </c>
      <c r="B116" s="2" t="s">
        <v>48</v>
      </c>
      <c r="C116" s="2">
        <v>42.4</v>
      </c>
      <c r="D116" s="2">
        <v>3</v>
      </c>
      <c r="E116" s="8">
        <f>Tablo1[[#This Row],[Dış Çap(ømm)]]/$C$140/$D$140*Tablo1[[#This Row],[Et Kalınlığı(mm)]]</f>
        <v>0.55643044619422566</v>
      </c>
      <c r="F116" s="8">
        <f>_xlfn.CEILING.MATH(2*Tablo1[[#This Row],[Dış Çap(ømm)]]*3.14*Tablo1[[#This Row],[Et Kalınlığı(mm)]]*3/1000*7.85*1.4/20,1)</f>
        <v>2</v>
      </c>
      <c r="G116" s="8">
        <f>_xlfn.CEILING.MATH(2*Tablo1[[#This Row],[Dış Çap(ømm)]]*3.14*Tablo1[[#This Row],[Et Kalınlığı(mm)]]*3/1000*7.85*1.4/35,1)</f>
        <v>1</v>
      </c>
    </row>
    <row r="117" spans="1:7">
      <c r="A117" s="1" t="s">
        <v>3</v>
      </c>
      <c r="B117" s="2" t="s">
        <v>48</v>
      </c>
      <c r="C117" s="2">
        <v>42.4</v>
      </c>
      <c r="D117" s="2">
        <v>3.6</v>
      </c>
      <c r="E117" s="8">
        <f>Tablo1[[#This Row],[Dış Çap(ømm)]]/$C$140/$D$140*Tablo1[[#This Row],[Et Kalınlığı(mm)]]</f>
        <v>0.66771653543307086</v>
      </c>
      <c r="F117" s="8">
        <f>_xlfn.CEILING.MATH(2*Tablo1[[#This Row],[Dış Çap(ømm)]]*3.14*Tablo1[[#This Row],[Et Kalınlığı(mm)]]*3/1000*7.85*1.4/20,1)</f>
        <v>2</v>
      </c>
      <c r="G117" s="8">
        <f>_xlfn.CEILING.MATH(2*Tablo1[[#This Row],[Dış Çap(ømm)]]*3.14*Tablo1[[#This Row],[Et Kalınlığı(mm)]]*3/1000*7.85*1.4/35,1)</f>
        <v>1</v>
      </c>
    </row>
    <row r="118" spans="1:7">
      <c r="A118" s="1" t="s">
        <v>4</v>
      </c>
      <c r="B118" s="2" t="s">
        <v>48</v>
      </c>
      <c r="C118" s="2">
        <v>48.3</v>
      </c>
      <c r="D118" s="2">
        <v>1.5</v>
      </c>
      <c r="E118" s="8">
        <f>Tablo1[[#This Row],[Dış Çap(ømm)]]/$C$140/$D$140*Tablo1[[#This Row],[Et Kalınlığı(mm)]]</f>
        <v>0.31692913385826771</v>
      </c>
      <c r="F118" s="8">
        <f>_xlfn.CEILING.MATH(2*Tablo1[[#This Row],[Dış Çap(ømm)]]*3.14*Tablo1[[#This Row],[Et Kalınlığı(mm)]]*3/1000*7.85*1.4/20,1)</f>
        <v>1</v>
      </c>
      <c r="G118" s="8">
        <f>_xlfn.CEILING.MATH(2*Tablo1[[#This Row],[Dış Çap(ømm)]]*3.14*Tablo1[[#This Row],[Et Kalınlığı(mm)]]*3/1000*7.85*1.4/35,1)</f>
        <v>1</v>
      </c>
    </row>
    <row r="119" spans="1:7">
      <c r="A119" s="1" t="s">
        <v>4</v>
      </c>
      <c r="B119" s="2" t="s">
        <v>48</v>
      </c>
      <c r="C119" s="2">
        <v>48.3</v>
      </c>
      <c r="D119" s="2">
        <v>2</v>
      </c>
      <c r="E119" s="8">
        <f>Tablo1[[#This Row],[Dış Çap(ømm)]]/$C$140/$D$140*Tablo1[[#This Row],[Et Kalınlığı(mm)]]</f>
        <v>0.4225721784776903</v>
      </c>
      <c r="F119" s="8">
        <f>_xlfn.CEILING.MATH(2*Tablo1[[#This Row],[Dış Çap(ømm)]]*3.14*Tablo1[[#This Row],[Et Kalınlığı(mm)]]*3/1000*7.85*1.4/20,1)</f>
        <v>2</v>
      </c>
      <c r="G119" s="8">
        <f>_xlfn.CEILING.MATH(2*Tablo1[[#This Row],[Dış Çap(ømm)]]*3.14*Tablo1[[#This Row],[Et Kalınlığı(mm)]]*3/1000*7.85*1.4/35,1)</f>
        <v>1</v>
      </c>
    </row>
    <row r="120" spans="1:7">
      <c r="A120" s="1" t="s">
        <v>4</v>
      </c>
      <c r="B120" s="2" t="s">
        <v>48</v>
      </c>
      <c r="C120" s="2">
        <v>48.3</v>
      </c>
      <c r="D120" s="2">
        <v>2.6</v>
      </c>
      <c r="E120" s="8">
        <f>Tablo1[[#This Row],[Dış Çap(ømm)]]/$C$140/$D$140*Tablo1[[#This Row],[Et Kalınlığı(mm)]]</f>
        <v>0.54934383202099746</v>
      </c>
      <c r="F120" s="8">
        <f>_xlfn.CEILING.MATH(2*Tablo1[[#This Row],[Dış Çap(ømm)]]*3.14*Tablo1[[#This Row],[Et Kalınlığı(mm)]]*3/1000*7.85*1.4/20,1)</f>
        <v>2</v>
      </c>
      <c r="G120" s="8">
        <f>_xlfn.CEILING.MATH(2*Tablo1[[#This Row],[Dış Çap(ømm)]]*3.14*Tablo1[[#This Row],[Et Kalınlığı(mm)]]*3/1000*7.85*1.4/35,1)</f>
        <v>1</v>
      </c>
    </row>
    <row r="121" spans="1:7">
      <c r="A121" s="1" t="s">
        <v>4</v>
      </c>
      <c r="B121" s="2" t="s">
        <v>48</v>
      </c>
      <c r="C121" s="2">
        <v>48.3</v>
      </c>
      <c r="D121" s="2">
        <v>3</v>
      </c>
      <c r="E121" s="8">
        <f>Tablo1[[#This Row],[Dış Çap(ømm)]]/$C$140/$D$140*Tablo1[[#This Row],[Et Kalınlığı(mm)]]</f>
        <v>0.63385826771653542</v>
      </c>
      <c r="F121" s="8">
        <f>_xlfn.CEILING.MATH(2*Tablo1[[#This Row],[Dış Çap(ømm)]]*3.14*Tablo1[[#This Row],[Et Kalınlığı(mm)]]*3/1000*7.85*1.4/20,1)</f>
        <v>2</v>
      </c>
      <c r="G121" s="8">
        <f>_xlfn.CEILING.MATH(2*Tablo1[[#This Row],[Dış Çap(ømm)]]*3.14*Tablo1[[#This Row],[Et Kalınlığı(mm)]]*3/1000*7.85*1.4/35,1)</f>
        <v>1</v>
      </c>
    </row>
    <row r="122" spans="1:7">
      <c r="A122" s="1" t="s">
        <v>5</v>
      </c>
      <c r="B122" s="2" t="s">
        <v>48</v>
      </c>
      <c r="C122" s="2">
        <v>60.3</v>
      </c>
      <c r="D122" s="2">
        <v>1.5</v>
      </c>
      <c r="E122" s="8">
        <f>Tablo1[[#This Row],[Dış Çap(ømm)]]/$C$140/$D$140*Tablo1[[#This Row],[Et Kalınlığı(mm)]]</f>
        <v>0.39566929133858264</v>
      </c>
      <c r="F122" s="8">
        <f>_xlfn.CEILING.MATH(2*Tablo1[[#This Row],[Dış Çap(ømm)]]*3.14*Tablo1[[#This Row],[Et Kalınlığı(mm)]]*3/1000*7.85*1.4/20,1)</f>
        <v>1</v>
      </c>
      <c r="G122" s="8">
        <f>_xlfn.CEILING.MATH(2*Tablo1[[#This Row],[Dış Çap(ømm)]]*3.14*Tablo1[[#This Row],[Et Kalınlığı(mm)]]*3/1000*7.85*1.4/35,1)</f>
        <v>1</v>
      </c>
    </row>
    <row r="123" spans="1:7">
      <c r="A123" s="1" t="s">
        <v>5</v>
      </c>
      <c r="B123" s="2" t="s">
        <v>48</v>
      </c>
      <c r="C123" s="2">
        <v>60.3</v>
      </c>
      <c r="D123" s="2">
        <v>1.6</v>
      </c>
      <c r="E123" s="8">
        <f>Tablo1[[#This Row],[Dış Çap(ømm)]]/$C$140/$D$140*Tablo1[[#This Row],[Et Kalınlığı(mm)]]</f>
        <v>0.42204724409448818</v>
      </c>
      <c r="F123" s="8">
        <f>_xlfn.CEILING.MATH(2*Tablo1[[#This Row],[Dış Çap(ømm)]]*3.14*Tablo1[[#This Row],[Et Kalınlığı(mm)]]*3/1000*7.85*1.4/20,1)</f>
        <v>1</v>
      </c>
      <c r="G123" s="8">
        <f>_xlfn.CEILING.MATH(2*Tablo1[[#This Row],[Dış Çap(ømm)]]*3.14*Tablo1[[#This Row],[Et Kalınlığı(mm)]]*3/1000*7.85*1.4/35,1)</f>
        <v>1</v>
      </c>
    </row>
    <row r="124" spans="1:7">
      <c r="A124" s="1" t="s">
        <v>5</v>
      </c>
      <c r="B124" s="2" t="s">
        <v>48</v>
      </c>
      <c r="C124" s="2">
        <v>60.3</v>
      </c>
      <c r="D124" s="2">
        <v>2</v>
      </c>
      <c r="E124" s="8">
        <f>Tablo1[[#This Row],[Dış Çap(ømm)]]/$C$140/$D$140*Tablo1[[#This Row],[Et Kalınlığı(mm)]]</f>
        <v>0.52755905511811019</v>
      </c>
      <c r="F124" s="8">
        <f>_xlfn.CEILING.MATH(2*Tablo1[[#This Row],[Dış Çap(ømm)]]*3.14*Tablo1[[#This Row],[Et Kalınlığı(mm)]]*3/1000*7.85*1.4/20,1)</f>
        <v>2</v>
      </c>
      <c r="G124" s="8">
        <f>_xlfn.CEILING.MATH(2*Tablo1[[#This Row],[Dış Çap(ømm)]]*3.14*Tablo1[[#This Row],[Et Kalınlığı(mm)]]*3/1000*7.85*1.4/35,1)</f>
        <v>1</v>
      </c>
    </row>
    <row r="125" spans="1:7">
      <c r="A125" s="1" t="s">
        <v>5</v>
      </c>
      <c r="B125" s="2" t="s">
        <v>48</v>
      </c>
      <c r="C125" s="2">
        <v>60.3</v>
      </c>
      <c r="D125" s="2">
        <v>2.6</v>
      </c>
      <c r="E125" s="8">
        <f>Tablo1[[#This Row],[Dış Çap(ømm)]]/$C$140/$D$140*Tablo1[[#This Row],[Et Kalınlığı(mm)]]</f>
        <v>0.68582677165354322</v>
      </c>
      <c r="F125" s="8">
        <f>_xlfn.CEILING.MATH(2*Tablo1[[#This Row],[Dış Çap(ømm)]]*3.14*Tablo1[[#This Row],[Et Kalınlığı(mm)]]*3/1000*7.85*1.4/20,1)</f>
        <v>2</v>
      </c>
      <c r="G125" s="8">
        <f>_xlfn.CEILING.MATH(2*Tablo1[[#This Row],[Dış Çap(ømm)]]*3.14*Tablo1[[#This Row],[Et Kalınlığı(mm)]]*3/1000*7.85*1.4/35,1)</f>
        <v>1</v>
      </c>
    </row>
    <row r="126" spans="1:7">
      <c r="A126" s="1" t="s">
        <v>5</v>
      </c>
      <c r="B126" s="2" t="s">
        <v>48</v>
      </c>
      <c r="C126" s="2">
        <v>60.3</v>
      </c>
      <c r="D126" s="2">
        <v>3</v>
      </c>
      <c r="E126" s="8">
        <f>Tablo1[[#This Row],[Dış Çap(ømm)]]/$C$140/$D$140*Tablo1[[#This Row],[Et Kalınlığı(mm)]]</f>
        <v>0.79133858267716528</v>
      </c>
      <c r="F126" s="8">
        <f>_xlfn.CEILING.MATH(2*Tablo1[[#This Row],[Dış Çap(ømm)]]*3.14*Tablo1[[#This Row],[Et Kalınlığı(mm)]]*3/1000*7.85*1.4/20,1)</f>
        <v>2</v>
      </c>
      <c r="G126" s="8">
        <f>_xlfn.CEILING.MATH(2*Tablo1[[#This Row],[Dış Çap(ømm)]]*3.14*Tablo1[[#This Row],[Et Kalınlığı(mm)]]*3/1000*7.85*1.4/35,1)</f>
        <v>2</v>
      </c>
    </row>
    <row r="127" spans="1:7">
      <c r="A127" s="1" t="s">
        <v>5</v>
      </c>
      <c r="B127" s="2" t="s">
        <v>48</v>
      </c>
      <c r="C127" s="2">
        <v>60.3</v>
      </c>
      <c r="D127" s="2">
        <v>4</v>
      </c>
      <c r="E127" s="8">
        <f>Tablo1[[#This Row],[Dış Çap(ømm)]]/$C$140/$D$140*Tablo1[[#This Row],[Et Kalınlığı(mm)]]</f>
        <v>1.0551181102362204</v>
      </c>
      <c r="F127" s="8">
        <f>_xlfn.CEILING.MATH(2*Tablo1[[#This Row],[Dış Çap(ømm)]]*3.14*Tablo1[[#This Row],[Et Kalınlığı(mm)]]*3/1000*7.85*1.4/20,1)</f>
        <v>3</v>
      </c>
      <c r="G127" s="8">
        <f>_xlfn.CEILING.MATH(2*Tablo1[[#This Row],[Dış Çap(ømm)]]*3.14*Tablo1[[#This Row],[Et Kalınlığı(mm)]]*3/1000*7.85*1.4/35,1)</f>
        <v>2</v>
      </c>
    </row>
    <row r="128" spans="1:7">
      <c r="A128" s="1" t="s">
        <v>6</v>
      </c>
      <c r="B128" s="2" t="s">
        <v>48</v>
      </c>
      <c r="C128" s="2">
        <v>76.099999999999994</v>
      </c>
      <c r="D128" s="2">
        <v>1.5</v>
      </c>
      <c r="E128" s="8">
        <f>Tablo1[[#This Row],[Dış Çap(ømm)]]/$C$140/$D$140*Tablo1[[#This Row],[Et Kalınlığı(mm)]]</f>
        <v>0.4993438320209973</v>
      </c>
      <c r="F128" s="8">
        <f>_xlfn.CEILING.MATH(2*Tablo1[[#This Row],[Dış Çap(ømm)]]*3.14*Tablo1[[#This Row],[Et Kalınlığı(mm)]]*3/1000*7.85*1.4/20,1)</f>
        <v>2</v>
      </c>
      <c r="G128" s="8">
        <f>_xlfn.CEILING.MATH(2*Tablo1[[#This Row],[Dış Çap(ømm)]]*3.14*Tablo1[[#This Row],[Et Kalınlığı(mm)]]*3/1000*7.85*1.4/35,1)</f>
        <v>1</v>
      </c>
    </row>
    <row r="129" spans="1:7">
      <c r="A129" s="1" t="s">
        <v>6</v>
      </c>
      <c r="B129" s="2" t="s">
        <v>48</v>
      </c>
      <c r="C129" s="2">
        <v>76.099999999999994</v>
      </c>
      <c r="D129" s="2">
        <v>1.6</v>
      </c>
      <c r="E129" s="8">
        <f>Tablo1[[#This Row],[Dış Çap(ømm)]]/$C$140/$D$140*Tablo1[[#This Row],[Et Kalınlığı(mm)]]</f>
        <v>0.53263342082239717</v>
      </c>
      <c r="F129" s="8">
        <f>_xlfn.CEILING.MATH(2*Tablo1[[#This Row],[Dış Çap(ømm)]]*3.14*Tablo1[[#This Row],[Et Kalınlığı(mm)]]*3/1000*7.85*1.4/20,1)</f>
        <v>2</v>
      </c>
      <c r="G129" s="8">
        <f>_xlfn.CEILING.MATH(2*Tablo1[[#This Row],[Dış Çap(ømm)]]*3.14*Tablo1[[#This Row],[Et Kalınlığı(mm)]]*3/1000*7.85*1.4/35,1)</f>
        <v>1</v>
      </c>
    </row>
    <row r="130" spans="1:7">
      <c r="A130" s="1" t="s">
        <v>6</v>
      </c>
      <c r="B130" s="2" t="s">
        <v>48</v>
      </c>
      <c r="C130" s="2">
        <v>76.099999999999994</v>
      </c>
      <c r="D130" s="2">
        <v>2</v>
      </c>
      <c r="E130" s="8">
        <f>Tablo1[[#This Row],[Dış Çap(ømm)]]/$C$140/$D$140*Tablo1[[#This Row],[Et Kalınlığı(mm)]]</f>
        <v>0.66579177602799644</v>
      </c>
      <c r="F130" s="8">
        <f>_xlfn.CEILING.MATH(2*Tablo1[[#This Row],[Dış Çap(ømm)]]*3.14*Tablo1[[#This Row],[Et Kalınlığı(mm)]]*3/1000*7.85*1.4/20,1)</f>
        <v>2</v>
      </c>
      <c r="G130" s="8">
        <f>_xlfn.CEILING.MATH(2*Tablo1[[#This Row],[Dış Çap(ømm)]]*3.14*Tablo1[[#This Row],[Et Kalınlığı(mm)]]*3/1000*7.85*1.4/35,1)</f>
        <v>1</v>
      </c>
    </row>
    <row r="131" spans="1:7">
      <c r="A131" s="1" t="s">
        <v>6</v>
      </c>
      <c r="B131" s="2" t="s">
        <v>48</v>
      </c>
      <c r="C131" s="2">
        <v>76.099999999999994</v>
      </c>
      <c r="D131" s="2">
        <v>2.6</v>
      </c>
      <c r="E131" s="8">
        <f>Tablo1[[#This Row],[Dış Çap(ømm)]]/$C$140/$D$140*Tablo1[[#This Row],[Et Kalınlığı(mm)]]</f>
        <v>0.86552930883639545</v>
      </c>
      <c r="F131" s="8">
        <f>_xlfn.CEILING.MATH(2*Tablo1[[#This Row],[Dış Çap(ømm)]]*3.14*Tablo1[[#This Row],[Et Kalınlığı(mm)]]*3/1000*7.85*1.4/20,1)</f>
        <v>3</v>
      </c>
      <c r="G131" s="8">
        <f>_xlfn.CEILING.MATH(2*Tablo1[[#This Row],[Dış Çap(ømm)]]*3.14*Tablo1[[#This Row],[Et Kalınlığı(mm)]]*3/1000*7.85*1.4/35,1)</f>
        <v>2</v>
      </c>
    </row>
    <row r="132" spans="1:7">
      <c r="A132" s="1" t="s">
        <v>6</v>
      </c>
      <c r="B132" s="2" t="s">
        <v>48</v>
      </c>
      <c r="C132" s="2">
        <v>76.099999999999994</v>
      </c>
      <c r="D132" s="2">
        <v>3</v>
      </c>
      <c r="E132" s="8">
        <f>Tablo1[[#This Row],[Dış Çap(ømm)]]/$C$140/$D$140*Tablo1[[#This Row],[Et Kalınlığı(mm)]]</f>
        <v>0.9986876640419946</v>
      </c>
      <c r="F132" s="8">
        <f>_xlfn.CEILING.MATH(2*Tablo1[[#This Row],[Dış Çap(ømm)]]*3.14*Tablo1[[#This Row],[Et Kalınlığı(mm)]]*3/1000*7.85*1.4/20,1)</f>
        <v>3</v>
      </c>
      <c r="G132" s="8">
        <f>_xlfn.CEILING.MATH(2*Tablo1[[#This Row],[Dış Çap(ømm)]]*3.14*Tablo1[[#This Row],[Et Kalınlığı(mm)]]*3/1000*7.85*1.4/35,1)</f>
        <v>2</v>
      </c>
    </row>
    <row r="133" spans="1:7">
      <c r="A133" s="1" t="s">
        <v>6</v>
      </c>
      <c r="B133" s="2" t="s">
        <v>48</v>
      </c>
      <c r="C133" s="2">
        <v>76.099999999999994</v>
      </c>
      <c r="D133" s="2">
        <v>4</v>
      </c>
      <c r="E133" s="8">
        <f>Tablo1[[#This Row],[Dış Çap(ømm)]]/$C$140/$D$140*Tablo1[[#This Row],[Et Kalınlığı(mm)]]</f>
        <v>1.3315835520559929</v>
      </c>
      <c r="F133" s="8">
        <f>_xlfn.CEILING.MATH(2*Tablo1[[#This Row],[Dış Çap(ømm)]]*3.14*Tablo1[[#This Row],[Et Kalınlığı(mm)]]*3/1000*7.85*1.4/20,1)</f>
        <v>4</v>
      </c>
      <c r="G133" s="8">
        <f>_xlfn.CEILING.MATH(2*Tablo1[[#This Row],[Dış Çap(ømm)]]*3.14*Tablo1[[#This Row],[Et Kalınlığı(mm)]]*3/1000*7.85*1.4/35,1)</f>
        <v>2</v>
      </c>
    </row>
    <row r="134" spans="1:7">
      <c r="A134" s="1" t="s">
        <v>7</v>
      </c>
      <c r="B134" s="2" t="s">
        <v>48</v>
      </c>
      <c r="C134" s="2">
        <v>88.9</v>
      </c>
      <c r="D134" s="2">
        <v>1.5</v>
      </c>
      <c r="E134" s="8">
        <f>Tablo1[[#This Row],[Dış Çap(ømm)]]/$C$140/$D$140*Tablo1[[#This Row],[Et Kalınlığı(mm)]]</f>
        <v>0.58333333333333348</v>
      </c>
      <c r="F134" s="8">
        <f>_xlfn.CEILING.MATH(2*Tablo1[[#This Row],[Dış Çap(ømm)]]*3.14*Tablo1[[#This Row],[Et Kalınlığı(mm)]]*3/1000*7.85*1.4/20,1)</f>
        <v>2</v>
      </c>
      <c r="G134" s="8">
        <f>_xlfn.CEILING.MATH(2*Tablo1[[#This Row],[Dış Çap(ømm)]]*3.14*Tablo1[[#This Row],[Et Kalınlığı(mm)]]*3/1000*7.85*1.4/35,1)</f>
        <v>1</v>
      </c>
    </row>
    <row r="135" spans="1:7">
      <c r="A135" s="1" t="s">
        <v>7</v>
      </c>
      <c r="B135" s="2" t="s">
        <v>48</v>
      </c>
      <c r="C135" s="2">
        <v>88.9</v>
      </c>
      <c r="D135" s="2">
        <v>1.6</v>
      </c>
      <c r="E135" s="8">
        <f>Tablo1[[#This Row],[Dış Çap(ømm)]]/$C$140/$D$140*Tablo1[[#This Row],[Et Kalınlığı(mm)]]</f>
        <v>0.62222222222222234</v>
      </c>
      <c r="F135" s="8">
        <f>_xlfn.CEILING.MATH(2*Tablo1[[#This Row],[Dış Çap(ømm)]]*3.14*Tablo1[[#This Row],[Et Kalınlığı(mm)]]*3/1000*7.85*1.4/20,1)</f>
        <v>2</v>
      </c>
      <c r="G135" s="8">
        <f>_xlfn.CEILING.MATH(2*Tablo1[[#This Row],[Dış Çap(ømm)]]*3.14*Tablo1[[#This Row],[Et Kalınlığı(mm)]]*3/1000*7.85*1.4/35,1)</f>
        <v>1</v>
      </c>
    </row>
    <row r="136" spans="1:7">
      <c r="A136" s="1" t="s">
        <v>7</v>
      </c>
      <c r="B136" s="2" t="s">
        <v>48</v>
      </c>
      <c r="C136" s="2">
        <v>88.9</v>
      </c>
      <c r="D136" s="2">
        <v>2</v>
      </c>
      <c r="E136" s="8">
        <f>Tablo1[[#This Row],[Dış Çap(ømm)]]/$C$140/$D$140*Tablo1[[#This Row],[Et Kalınlığı(mm)]]</f>
        <v>0.7777777777777779</v>
      </c>
      <c r="F136" s="8">
        <f>_xlfn.CEILING.MATH(2*Tablo1[[#This Row],[Dış Çap(ømm)]]*3.14*Tablo1[[#This Row],[Et Kalınlığı(mm)]]*3/1000*7.85*1.4/20,1)</f>
        <v>2</v>
      </c>
      <c r="G136" s="8">
        <f>_xlfn.CEILING.MATH(2*Tablo1[[#This Row],[Dış Çap(ømm)]]*3.14*Tablo1[[#This Row],[Et Kalınlığı(mm)]]*3/1000*7.85*1.4/35,1)</f>
        <v>2</v>
      </c>
    </row>
    <row r="137" spans="1:7">
      <c r="A137" s="1" t="s">
        <v>7</v>
      </c>
      <c r="B137" s="2" t="s">
        <v>48</v>
      </c>
      <c r="C137" s="2">
        <v>88.9</v>
      </c>
      <c r="D137" s="2">
        <v>2.6</v>
      </c>
      <c r="E137" s="8">
        <f>Tablo1[[#This Row],[Dış Çap(ømm)]]/$C$140/$D$140*Tablo1[[#This Row],[Et Kalınlığı(mm)]]</f>
        <v>1.0111111111111113</v>
      </c>
      <c r="F137" s="8">
        <f>_xlfn.CEILING.MATH(2*Tablo1[[#This Row],[Dış Çap(ømm)]]*3.14*Tablo1[[#This Row],[Et Kalınlığı(mm)]]*3/1000*7.85*1.4/20,1)</f>
        <v>3</v>
      </c>
      <c r="G137" s="8">
        <f>_xlfn.CEILING.MATH(2*Tablo1[[#This Row],[Dış Çap(ømm)]]*3.14*Tablo1[[#This Row],[Et Kalınlığı(mm)]]*3/1000*7.85*1.4/35,1)</f>
        <v>2</v>
      </c>
    </row>
    <row r="138" spans="1:7">
      <c r="A138" s="1" t="s">
        <v>7</v>
      </c>
      <c r="B138" s="2" t="s">
        <v>48</v>
      </c>
      <c r="C138" s="2">
        <v>88.9</v>
      </c>
      <c r="D138" s="2">
        <v>3</v>
      </c>
      <c r="E138" s="8">
        <f>Tablo1[[#This Row],[Dış Çap(ømm)]]/$C$140/$D$140*Tablo1[[#This Row],[Et Kalınlığı(mm)]]</f>
        <v>1.166666666666667</v>
      </c>
      <c r="F138" s="8">
        <f>_xlfn.CEILING.MATH(2*Tablo1[[#This Row],[Dış Çap(ømm)]]*3.14*Tablo1[[#This Row],[Et Kalınlığı(mm)]]*3/1000*7.85*1.4/20,1)</f>
        <v>3</v>
      </c>
      <c r="G138" s="8">
        <f>_xlfn.CEILING.MATH(2*Tablo1[[#This Row],[Dış Çap(ømm)]]*3.14*Tablo1[[#This Row],[Et Kalınlığı(mm)]]*3/1000*7.85*1.4/35,1)</f>
        <v>2</v>
      </c>
    </row>
    <row r="139" spans="1:7">
      <c r="A139" s="1" t="s">
        <v>7</v>
      </c>
      <c r="B139" s="2" t="s">
        <v>48</v>
      </c>
      <c r="C139" s="2">
        <v>88.9</v>
      </c>
      <c r="D139" s="2">
        <v>4</v>
      </c>
      <c r="E139" s="8">
        <f>Tablo1[[#This Row],[Dış Çap(ømm)]]/$C$140/$D$140*Tablo1[[#This Row],[Et Kalınlığı(mm)]]</f>
        <v>1.5555555555555558</v>
      </c>
      <c r="F139" s="8">
        <f>_xlfn.CEILING.MATH(2*Tablo1[[#This Row],[Dış Çap(ømm)]]*3.14*Tablo1[[#This Row],[Et Kalınlığı(mm)]]*3/1000*7.85*1.4/20,1)</f>
        <v>4</v>
      </c>
      <c r="G139" s="8">
        <f>_xlfn.CEILING.MATH(2*Tablo1[[#This Row],[Dış Çap(ømm)]]*3.14*Tablo1[[#This Row],[Et Kalınlığı(mm)]]*3/1000*7.85*1.4/35,1)</f>
        <v>3</v>
      </c>
    </row>
    <row r="140" spans="1:7">
      <c r="A140" s="1" t="s">
        <v>8</v>
      </c>
      <c r="B140" s="2" t="s">
        <v>48</v>
      </c>
      <c r="C140" s="2">
        <v>114.3</v>
      </c>
      <c r="D140" s="2">
        <v>2</v>
      </c>
      <c r="E140" s="8">
        <v>1.33</v>
      </c>
      <c r="F140" s="8">
        <f>_xlfn.CEILING.MATH(2*Tablo1[[#This Row],[Dış Çap(ømm)]]*3.14*Tablo1[[#This Row],[Et Kalınlığı(mm)]]*3/1000*7.85*1.4/20,1)</f>
        <v>3</v>
      </c>
      <c r="G140" s="8">
        <f>_xlfn.CEILING.MATH(2*Tablo1[[#This Row],[Dış Çap(ømm)]]*3.14*Tablo1[[#This Row],[Et Kalınlığı(mm)]]*3/1000*7.85*1.4/35,1)</f>
        <v>2</v>
      </c>
    </row>
    <row r="141" spans="1:7">
      <c r="A141" s="1" t="s">
        <v>8</v>
      </c>
      <c r="B141" s="2" t="s">
        <v>48</v>
      </c>
      <c r="C141" s="2">
        <v>114.3</v>
      </c>
      <c r="D141" s="2">
        <v>2.6</v>
      </c>
      <c r="E141" s="8">
        <f>(Tablo1[[#This Row],[Dış Çap(ømm)]]/$C$140)/$D$140*$E$140*Tablo1[[#This Row],[Et Kalınlığı(mm)]]</f>
        <v>1.7290000000000001</v>
      </c>
      <c r="F141" s="8">
        <f>_xlfn.CEILING.MATH(2*Tablo1[[#This Row],[Dış Çap(ømm)]]*3.14*Tablo1[[#This Row],[Et Kalınlığı(mm)]]*3/1000*7.85*1.4/20,1)</f>
        <v>4</v>
      </c>
      <c r="G141" s="8">
        <f>_xlfn.CEILING.MATH(2*Tablo1[[#This Row],[Dış Çap(ømm)]]*3.14*Tablo1[[#This Row],[Et Kalınlığı(mm)]]*3/1000*7.85*1.4/35,1)</f>
        <v>2</v>
      </c>
    </row>
    <row r="142" spans="1:7">
      <c r="A142" s="1" t="s">
        <v>8</v>
      </c>
      <c r="B142" s="2" t="s">
        <v>48</v>
      </c>
      <c r="C142" s="2">
        <v>114.3</v>
      </c>
      <c r="D142" s="2">
        <v>3</v>
      </c>
      <c r="E142" s="8">
        <f>(Tablo1[[#This Row],[Dış Çap(ømm)]]/$C$140)/$D$140*$E$140*Tablo1[[#This Row],[Et Kalınlığı(mm)]]</f>
        <v>1.9950000000000001</v>
      </c>
      <c r="F142" s="8">
        <f>_xlfn.CEILING.MATH(2*Tablo1[[#This Row],[Dış Çap(ømm)]]*3.14*Tablo1[[#This Row],[Et Kalınlığı(mm)]]*3/1000*7.85*1.4/20,1)</f>
        <v>4</v>
      </c>
      <c r="G142" s="8">
        <f>_xlfn.CEILING.MATH(2*Tablo1[[#This Row],[Dış Çap(ømm)]]*3.14*Tablo1[[#This Row],[Et Kalınlığı(mm)]]*3/1000*7.85*1.4/35,1)</f>
        <v>3</v>
      </c>
    </row>
    <row r="143" spans="1:7">
      <c r="A143" s="1" t="s">
        <v>8</v>
      </c>
      <c r="B143" s="2" t="s">
        <v>48</v>
      </c>
      <c r="C143" s="2">
        <v>114.3</v>
      </c>
      <c r="D143" s="2">
        <v>3.6</v>
      </c>
      <c r="E143" s="8">
        <f>(Tablo1[[#This Row],[Dış Çap(ømm)]]/$C$140)/$D$140*$E$140*Tablo1[[#This Row],[Et Kalınlığı(mm)]]</f>
        <v>2.3940000000000001</v>
      </c>
      <c r="F143" s="8">
        <f>_xlfn.CEILING.MATH(2*Tablo1[[#This Row],[Dış Çap(ømm)]]*3.14*Tablo1[[#This Row],[Et Kalınlığı(mm)]]*3/1000*7.85*1.4/20,1)</f>
        <v>5</v>
      </c>
      <c r="G143" s="8">
        <f>_xlfn.CEILING.MATH(2*Tablo1[[#This Row],[Dış Çap(ømm)]]*3.14*Tablo1[[#This Row],[Et Kalınlığı(mm)]]*3/1000*7.85*1.4/35,1)</f>
        <v>3</v>
      </c>
    </row>
    <row r="144" spans="1:7">
      <c r="A144" s="1" t="s">
        <v>8</v>
      </c>
      <c r="B144" s="2" t="s">
        <v>48</v>
      </c>
      <c r="C144" s="2">
        <v>114.3</v>
      </c>
      <c r="D144" s="2">
        <v>4</v>
      </c>
      <c r="E144" s="8">
        <f>(Tablo1[[#This Row],[Dış Çap(ømm)]]/$C$140)/$D$140*$E$140*Tablo1[[#This Row],[Et Kalınlığı(mm)]]</f>
        <v>2.66</v>
      </c>
      <c r="F144" s="8">
        <f>_xlfn.CEILING.MATH(2*Tablo1[[#This Row],[Dış Çap(ømm)]]*3.14*Tablo1[[#This Row],[Et Kalınlığı(mm)]]*3/1000*7.85*1.4/20,1)</f>
        <v>5</v>
      </c>
      <c r="G144" s="8">
        <f>_xlfn.CEILING.MATH(2*Tablo1[[#This Row],[Dış Çap(ømm)]]*3.14*Tablo1[[#This Row],[Et Kalınlığı(mm)]]*3/1000*7.85*1.4/35,1)</f>
        <v>3</v>
      </c>
    </row>
    <row r="145" spans="1:7">
      <c r="A145" s="1" t="s">
        <v>9</v>
      </c>
      <c r="B145" s="2" t="s">
        <v>48</v>
      </c>
      <c r="C145" s="2">
        <v>139.69999999999999</v>
      </c>
      <c r="D145" s="2">
        <v>2</v>
      </c>
      <c r="E145" s="8">
        <f>(Tablo1[[#This Row],[Dış Çap(ømm)]]/$C$140)/$D$140*$E$140*Tablo1[[#This Row],[Et Kalınlığı(mm)]]</f>
        <v>1.6255555555555554</v>
      </c>
      <c r="F145" s="8">
        <f>_xlfn.CEILING.MATH(2*Tablo1[[#This Row],[Dış Çap(ømm)]]*3.14*Tablo1[[#This Row],[Et Kalınlığı(mm)]]*3/1000*7.85*1.4/20,1)</f>
        <v>3</v>
      </c>
      <c r="G145" s="8">
        <f>_xlfn.CEILING.MATH(2*Tablo1[[#This Row],[Dış Çap(ømm)]]*3.14*Tablo1[[#This Row],[Et Kalınlığı(mm)]]*3/1000*7.85*1.4/35,1)</f>
        <v>2</v>
      </c>
    </row>
    <row r="146" spans="1:7">
      <c r="A146" s="1" t="s">
        <v>9</v>
      </c>
      <c r="B146" s="2" t="s">
        <v>48</v>
      </c>
      <c r="C146" s="2">
        <v>139.69999999999999</v>
      </c>
      <c r="D146" s="2">
        <v>2.6</v>
      </c>
      <c r="E146" s="8">
        <f>(Tablo1[[#This Row],[Dış Çap(ømm)]]/$C$140)/$D$140*$E$140*Tablo1[[#This Row],[Et Kalınlığı(mm)]]</f>
        <v>2.1132222222222223</v>
      </c>
      <c r="F146" s="8">
        <f>_xlfn.CEILING.MATH(2*Tablo1[[#This Row],[Dış Çap(ømm)]]*3.14*Tablo1[[#This Row],[Et Kalınlığı(mm)]]*3/1000*7.85*1.4/20,1)</f>
        <v>4</v>
      </c>
      <c r="G146" s="8">
        <f>_xlfn.CEILING.MATH(2*Tablo1[[#This Row],[Dış Çap(ømm)]]*3.14*Tablo1[[#This Row],[Et Kalınlığı(mm)]]*3/1000*7.85*1.4/35,1)</f>
        <v>3</v>
      </c>
    </row>
    <row r="147" spans="1:7">
      <c r="A147" s="1" t="s">
        <v>9</v>
      </c>
      <c r="B147" s="2" t="s">
        <v>48</v>
      </c>
      <c r="C147" s="2">
        <v>139.69999999999999</v>
      </c>
      <c r="D147" s="2">
        <v>3</v>
      </c>
      <c r="E147" s="8">
        <f>(Tablo1[[#This Row],[Dış Çap(ømm)]]/$C$140)/$D$140*$E$140*Tablo1[[#This Row],[Et Kalınlığı(mm)]]</f>
        <v>2.438333333333333</v>
      </c>
      <c r="F147" s="8">
        <f>_xlfn.CEILING.MATH(2*Tablo1[[#This Row],[Dış Çap(ømm)]]*3.14*Tablo1[[#This Row],[Et Kalınlığı(mm)]]*3/1000*7.85*1.4/20,1)</f>
        <v>5</v>
      </c>
      <c r="G147" s="8">
        <f>_xlfn.CEILING.MATH(2*Tablo1[[#This Row],[Dış Çap(ømm)]]*3.14*Tablo1[[#This Row],[Et Kalınlığı(mm)]]*3/1000*7.85*1.4/35,1)</f>
        <v>3</v>
      </c>
    </row>
    <row r="148" spans="1:7">
      <c r="A148" s="1" t="s">
        <v>9</v>
      </c>
      <c r="B148" s="2" t="s">
        <v>48</v>
      </c>
      <c r="C148" s="2">
        <v>139.69999999999999</v>
      </c>
      <c r="D148" s="2">
        <v>4</v>
      </c>
      <c r="E148" s="8">
        <f>(Tablo1[[#This Row],[Dış Çap(ømm)]]/$C$140)/$D$140*$E$140*Tablo1[[#This Row],[Et Kalınlığı(mm)]]</f>
        <v>3.2511111111111108</v>
      </c>
      <c r="F148" s="8">
        <f>_xlfn.CEILING.MATH(2*Tablo1[[#This Row],[Dış Çap(ømm)]]*3.14*Tablo1[[#This Row],[Et Kalınlığı(mm)]]*3/1000*7.85*1.4/20,1)</f>
        <v>6</v>
      </c>
      <c r="G148" s="8">
        <f>_xlfn.CEILING.MATH(2*Tablo1[[#This Row],[Dış Çap(ømm)]]*3.14*Tablo1[[#This Row],[Et Kalınlığı(mm)]]*3/1000*7.85*1.4/35,1)</f>
        <v>4</v>
      </c>
    </row>
    <row r="149" spans="1:7">
      <c r="A149" s="1" t="s">
        <v>10</v>
      </c>
      <c r="B149" s="2" t="s">
        <v>48</v>
      </c>
      <c r="C149" s="2">
        <v>168.3</v>
      </c>
      <c r="D149" s="2">
        <v>2</v>
      </c>
      <c r="E149" s="8">
        <f>(Tablo1[[#This Row],[Dış Çap(ømm)]]/$C$140)/$D$140*$E$140*Tablo1[[#This Row],[Et Kalınlığı(mm)]]</f>
        <v>1.9583464566929136</v>
      </c>
      <c r="F149" s="8">
        <f>_xlfn.CEILING.MATH(2*Tablo1[[#This Row],[Dış Çap(ømm)]]*3.14*Tablo1[[#This Row],[Et Kalınlığı(mm)]]*3/1000*7.85*1.4/20,1)</f>
        <v>4</v>
      </c>
      <c r="G149" s="8">
        <f>_xlfn.CEILING.MATH(2*Tablo1[[#This Row],[Dış Çap(ømm)]]*3.14*Tablo1[[#This Row],[Et Kalınlığı(mm)]]*3/1000*7.85*1.4/35,1)</f>
        <v>2</v>
      </c>
    </row>
    <row r="150" spans="1:7">
      <c r="A150" s="1" t="s">
        <v>10</v>
      </c>
      <c r="B150" s="2" t="s">
        <v>48</v>
      </c>
      <c r="C150" s="2">
        <v>168.3</v>
      </c>
      <c r="D150" s="2">
        <v>2.6</v>
      </c>
      <c r="E150" s="8">
        <f>(Tablo1[[#This Row],[Dış Çap(ømm)]]/$C$140)/$D$140*$E$140*Tablo1[[#This Row],[Et Kalınlığı(mm)]]</f>
        <v>2.5458503937007877</v>
      </c>
      <c r="F150" s="8">
        <f>_xlfn.CEILING.MATH(2*Tablo1[[#This Row],[Dış Çap(ømm)]]*3.14*Tablo1[[#This Row],[Et Kalınlığı(mm)]]*3/1000*7.85*1.4/20,1)</f>
        <v>5</v>
      </c>
      <c r="G150" s="8">
        <f>_xlfn.CEILING.MATH(2*Tablo1[[#This Row],[Dış Çap(ømm)]]*3.14*Tablo1[[#This Row],[Et Kalınlığı(mm)]]*3/1000*7.85*1.4/35,1)</f>
        <v>3</v>
      </c>
    </row>
    <row r="151" spans="1:7">
      <c r="A151" s="1" t="s">
        <v>10</v>
      </c>
      <c r="B151" s="2" t="s">
        <v>48</v>
      </c>
      <c r="C151" s="2">
        <v>168.3</v>
      </c>
      <c r="D151" s="2">
        <v>3</v>
      </c>
      <c r="E151" s="8">
        <f>(Tablo1[[#This Row],[Dış Çap(ømm)]]/$C$140)/$D$140*$E$140*Tablo1[[#This Row],[Et Kalınlığı(mm)]]</f>
        <v>2.9375196850393706</v>
      </c>
      <c r="F151" s="8">
        <f>_xlfn.CEILING.MATH(2*Tablo1[[#This Row],[Dış Çap(ømm)]]*3.14*Tablo1[[#This Row],[Et Kalınlığı(mm)]]*3/1000*7.85*1.4/20,1)</f>
        <v>6</v>
      </c>
      <c r="G151" s="8">
        <f>_xlfn.CEILING.MATH(2*Tablo1[[#This Row],[Dış Çap(ømm)]]*3.14*Tablo1[[#This Row],[Et Kalınlığı(mm)]]*3/1000*7.85*1.4/35,1)</f>
        <v>3</v>
      </c>
    </row>
    <row r="152" spans="1:7">
      <c r="A152" s="1" t="s">
        <v>10</v>
      </c>
      <c r="B152" s="2" t="s">
        <v>48</v>
      </c>
      <c r="C152" s="2">
        <v>168.3</v>
      </c>
      <c r="D152" s="2">
        <v>4</v>
      </c>
      <c r="E152" s="8">
        <f>(Tablo1[[#This Row],[Dış Çap(ømm)]]/$C$140)/$D$140*$E$140*Tablo1[[#This Row],[Et Kalınlığı(mm)]]</f>
        <v>3.9166929133858273</v>
      </c>
      <c r="F152" s="8">
        <f>_xlfn.CEILING.MATH(2*Tablo1[[#This Row],[Dış Çap(ømm)]]*3.14*Tablo1[[#This Row],[Et Kalınlığı(mm)]]*3/1000*7.85*1.4/20,1)</f>
        <v>7</v>
      </c>
      <c r="G152" s="8">
        <f>_xlfn.CEILING.MATH(2*Tablo1[[#This Row],[Dış Çap(ømm)]]*3.14*Tablo1[[#This Row],[Et Kalınlığı(mm)]]*3/1000*7.85*1.4/35,1)</f>
        <v>4</v>
      </c>
    </row>
    <row r="153" spans="1:7">
      <c r="A153" s="1" t="s">
        <v>11</v>
      </c>
      <c r="B153" s="2" t="s">
        <v>48</v>
      </c>
      <c r="C153" s="2">
        <v>219.1</v>
      </c>
      <c r="D153" s="2">
        <v>2</v>
      </c>
      <c r="E153" s="8">
        <f>(Tablo1[[#This Row],[Dış Çap(ømm)]]/$C$140)/$D$140*$E$140*Tablo1[[#This Row],[Et Kalınlığı(mm)]]</f>
        <v>2.5494575678040245</v>
      </c>
      <c r="F153" s="8">
        <f>_xlfn.CEILING.MATH(2*Tablo1[[#This Row],[Dış Çap(ømm)]]*3.14*Tablo1[[#This Row],[Et Kalınlığı(mm)]]*3/1000*7.85*1.4/20,1)</f>
        <v>5</v>
      </c>
      <c r="G153" s="8">
        <f>_xlfn.CEILING.MATH(2*Tablo1[[#This Row],[Dış Çap(ømm)]]*3.14*Tablo1[[#This Row],[Et Kalınlığı(mm)]]*3/1000*7.85*1.4/35,1)</f>
        <v>3</v>
      </c>
    </row>
    <row r="154" spans="1:7">
      <c r="A154" s="1" t="s">
        <v>11</v>
      </c>
      <c r="B154" s="2" t="s">
        <v>48</v>
      </c>
      <c r="C154" s="2">
        <v>219.1</v>
      </c>
      <c r="D154" s="2">
        <v>2.6</v>
      </c>
      <c r="E154" s="8">
        <f>(Tablo1[[#This Row],[Dış Çap(ømm)]]/$C$140)/$D$140*$E$140*Tablo1[[#This Row],[Et Kalınlığı(mm)]]</f>
        <v>3.3142948381452322</v>
      </c>
      <c r="F154" s="8">
        <f>_xlfn.CEILING.MATH(2*Tablo1[[#This Row],[Dış Çap(ømm)]]*3.14*Tablo1[[#This Row],[Et Kalınlığı(mm)]]*3/1000*7.85*1.4/20,1)</f>
        <v>6</v>
      </c>
      <c r="G154" s="8">
        <f>_xlfn.CEILING.MATH(2*Tablo1[[#This Row],[Dış Çap(ømm)]]*3.14*Tablo1[[#This Row],[Et Kalınlığı(mm)]]*3/1000*7.85*1.4/35,1)</f>
        <v>4</v>
      </c>
    </row>
    <row r="155" spans="1:7">
      <c r="A155" s="1" t="s">
        <v>11</v>
      </c>
      <c r="B155" s="2" t="s">
        <v>48</v>
      </c>
      <c r="C155" s="2">
        <v>219.1</v>
      </c>
      <c r="D155" s="2">
        <v>3</v>
      </c>
      <c r="E155" s="8">
        <f>(Tablo1[[#This Row],[Dış Çap(ømm)]]/$C$140)/$D$140*$E$140*Tablo1[[#This Row],[Et Kalınlığı(mm)]]</f>
        <v>3.8241863517060368</v>
      </c>
      <c r="F155" s="8">
        <f>_xlfn.CEILING.MATH(2*Tablo1[[#This Row],[Dış Çap(ømm)]]*3.14*Tablo1[[#This Row],[Et Kalınlığı(mm)]]*3/1000*7.85*1.4/20,1)</f>
        <v>7</v>
      </c>
      <c r="G155" s="8">
        <f>_xlfn.CEILING.MATH(2*Tablo1[[#This Row],[Dış Çap(ømm)]]*3.14*Tablo1[[#This Row],[Et Kalınlığı(mm)]]*3/1000*7.85*1.4/35,1)</f>
        <v>4</v>
      </c>
    </row>
    <row r="156" spans="1:7">
      <c r="A156" s="1" t="s">
        <v>11</v>
      </c>
      <c r="B156" s="2" t="s">
        <v>48</v>
      </c>
      <c r="C156" s="2">
        <v>219.1</v>
      </c>
      <c r="D156" s="2">
        <v>4</v>
      </c>
      <c r="E156" s="8">
        <f>(Tablo1[[#This Row],[Dış Çap(ømm)]]/$C$140)/$D$140*$E$140*Tablo1[[#This Row],[Et Kalınlığı(mm)]]</f>
        <v>5.0989151356080491</v>
      </c>
      <c r="F156" s="8">
        <f>_xlfn.CEILING.MATH(2*Tablo1[[#This Row],[Dış Çap(ømm)]]*3.14*Tablo1[[#This Row],[Et Kalınlığı(mm)]]*3/1000*7.85*1.4/20,1)</f>
        <v>10</v>
      </c>
      <c r="G156" s="8">
        <f>_xlfn.CEILING.MATH(2*Tablo1[[#This Row],[Dış Çap(ømm)]]*3.14*Tablo1[[#This Row],[Et Kalınlığı(mm)]]*3/1000*7.85*1.4/35,1)</f>
        <v>6</v>
      </c>
    </row>
    <row r="157" spans="1:7">
      <c r="A157" s="1" t="s">
        <v>11</v>
      </c>
      <c r="B157" s="2" t="s">
        <v>48</v>
      </c>
      <c r="C157" s="2">
        <v>219.1</v>
      </c>
      <c r="D157" s="2">
        <v>5</v>
      </c>
      <c r="E157" s="8">
        <f>(Tablo1[[#This Row],[Dış Çap(ømm)]]/$C$140)/$D$140*$E$140*Tablo1[[#This Row],[Et Kalınlığı(mm)]]</f>
        <v>6.3736439195100614</v>
      </c>
      <c r="F157" s="8">
        <f>_xlfn.CEILING.MATH(2*Tablo1[[#This Row],[Dış Çap(ømm)]]*3.14*Tablo1[[#This Row],[Et Kalınlığı(mm)]]*3/1000*7.85*1.4/20,1)</f>
        <v>12</v>
      </c>
      <c r="G157" s="8">
        <f>_xlfn.CEILING.MATH(2*Tablo1[[#This Row],[Dış Çap(ømm)]]*3.14*Tablo1[[#This Row],[Et Kalınlığı(mm)]]*3/1000*7.85*1.4/35,1)</f>
        <v>7</v>
      </c>
    </row>
    <row r="158" spans="1:7">
      <c r="A158" s="1" t="s">
        <v>12</v>
      </c>
      <c r="B158" s="2" t="s">
        <v>48</v>
      </c>
      <c r="C158" s="2">
        <v>273</v>
      </c>
      <c r="D158" s="2">
        <v>2</v>
      </c>
      <c r="E158" s="8">
        <f>(Tablo1[[#This Row],[Dış Çap(ømm)]]/$C$140)/$D$140*$E$140*Tablo1[[#This Row],[Et Kalınlığı(mm)]]</f>
        <v>3.1766404199475069</v>
      </c>
      <c r="F158" s="8">
        <f>_xlfn.CEILING.MATH(2*Tablo1[[#This Row],[Dış Çap(ømm)]]*3.14*Tablo1[[#This Row],[Et Kalınlığı(mm)]]*3/1000*7.85*1.4/20,1)</f>
        <v>6</v>
      </c>
      <c r="G158" s="8">
        <f>_xlfn.CEILING.MATH(2*Tablo1[[#This Row],[Dış Çap(ømm)]]*3.14*Tablo1[[#This Row],[Et Kalınlığı(mm)]]*3/1000*7.85*1.4/35,1)</f>
        <v>4</v>
      </c>
    </row>
    <row r="159" spans="1:7">
      <c r="A159" s="1" t="s">
        <v>12</v>
      </c>
      <c r="B159" s="2" t="s">
        <v>48</v>
      </c>
      <c r="C159" s="2">
        <v>273</v>
      </c>
      <c r="D159" s="2">
        <v>3</v>
      </c>
      <c r="E159" s="8">
        <f>(Tablo1[[#This Row],[Dış Çap(ømm)]]/$C$140)/$D$140*$E$140*Tablo1[[#This Row],[Et Kalınlığı(mm)]]</f>
        <v>4.7649606299212603</v>
      </c>
      <c r="F159" s="8">
        <f>_xlfn.CEILING.MATH(2*Tablo1[[#This Row],[Dış Çap(ømm)]]*3.14*Tablo1[[#This Row],[Et Kalınlığı(mm)]]*3/1000*7.85*1.4/20,1)</f>
        <v>9</v>
      </c>
      <c r="G159" s="8">
        <f>_xlfn.CEILING.MATH(2*Tablo1[[#This Row],[Dış Çap(ømm)]]*3.14*Tablo1[[#This Row],[Et Kalınlığı(mm)]]*3/1000*7.85*1.4/35,1)</f>
        <v>5</v>
      </c>
    </row>
    <row r="160" spans="1:7">
      <c r="A160" s="1" t="s">
        <v>12</v>
      </c>
      <c r="B160" s="2" t="s">
        <v>48</v>
      </c>
      <c r="C160" s="2">
        <v>273</v>
      </c>
      <c r="D160" s="2">
        <v>4</v>
      </c>
      <c r="E160" s="8">
        <f>(Tablo1[[#This Row],[Dış Çap(ømm)]]/$C$140)/$D$140*$E$140*Tablo1[[#This Row],[Et Kalınlığı(mm)]]</f>
        <v>6.3532808398950138</v>
      </c>
      <c r="F160" s="8">
        <f>_xlfn.CEILING.MATH(2*Tablo1[[#This Row],[Dış Çap(ømm)]]*3.14*Tablo1[[#This Row],[Et Kalınlığı(mm)]]*3/1000*7.85*1.4/20,1)</f>
        <v>12</v>
      </c>
      <c r="G160" s="8">
        <f>_xlfn.CEILING.MATH(2*Tablo1[[#This Row],[Dış Çap(ømm)]]*3.14*Tablo1[[#This Row],[Et Kalınlığı(mm)]]*3/1000*7.85*1.4/35,1)</f>
        <v>7</v>
      </c>
    </row>
    <row r="161" spans="1:7">
      <c r="A161" s="1" t="s">
        <v>12</v>
      </c>
      <c r="B161" s="2" t="s">
        <v>48</v>
      </c>
      <c r="C161" s="2">
        <v>273</v>
      </c>
      <c r="D161" s="2">
        <v>5</v>
      </c>
      <c r="E161" s="8">
        <f>(Tablo1[[#This Row],[Dış Çap(ømm)]]/$C$140)/$D$140*$E$140*Tablo1[[#This Row],[Et Kalınlığı(mm)]]</f>
        <v>7.9416010498687672</v>
      </c>
      <c r="F161" s="8">
        <f>_xlfn.CEILING.MATH(2*Tablo1[[#This Row],[Dış Çap(ømm)]]*3.14*Tablo1[[#This Row],[Et Kalınlığı(mm)]]*3/1000*7.85*1.4/20,1)</f>
        <v>15</v>
      </c>
      <c r="G161" s="8">
        <f>_xlfn.CEILING.MATH(2*Tablo1[[#This Row],[Dış Çap(ømm)]]*3.14*Tablo1[[#This Row],[Et Kalınlığı(mm)]]*3/1000*7.85*1.4/35,1)</f>
        <v>9</v>
      </c>
    </row>
    <row r="162" spans="1:7">
      <c r="A162" s="1" t="s">
        <v>13</v>
      </c>
      <c r="B162" s="2" t="s">
        <v>48</v>
      </c>
      <c r="C162" s="2">
        <v>323.89999999999998</v>
      </c>
      <c r="D162" s="2">
        <v>2</v>
      </c>
      <c r="E162" s="8">
        <f>(Tablo1[[#This Row],[Dış Çap(ømm)]]/$C$140)/$D$140*$E$140*Tablo1[[#This Row],[Et Kalınlığı(mm)]]</f>
        <v>3.7689151356080495</v>
      </c>
      <c r="F162" s="8">
        <f>_xlfn.CEILING.MATH(2*Tablo1[[#This Row],[Dış Çap(ømm)]]*3.14*Tablo1[[#This Row],[Et Kalınlığı(mm)]]*3/1000*7.85*1.4/20,1)</f>
        <v>7</v>
      </c>
      <c r="G162" s="8">
        <f>_xlfn.CEILING.MATH(2*Tablo1[[#This Row],[Dış Çap(ømm)]]*3.14*Tablo1[[#This Row],[Et Kalınlığı(mm)]]*3/1000*7.85*1.4/35,1)</f>
        <v>4</v>
      </c>
    </row>
    <row r="163" spans="1:7">
      <c r="A163" s="1" t="s">
        <v>13</v>
      </c>
      <c r="B163" s="2" t="s">
        <v>48</v>
      </c>
      <c r="C163" s="2">
        <v>323.89999999999998</v>
      </c>
      <c r="D163" s="2">
        <v>3</v>
      </c>
      <c r="E163" s="8">
        <f>(Tablo1[[#This Row],[Dış Çap(ømm)]]/$C$140)/$D$140*$E$140*Tablo1[[#This Row],[Et Kalınlığı(mm)]]</f>
        <v>5.6533727034120744</v>
      </c>
      <c r="F163" s="8">
        <f>_xlfn.CEILING.MATH(2*Tablo1[[#This Row],[Dış Çap(ømm)]]*3.14*Tablo1[[#This Row],[Et Kalınlığı(mm)]]*3/1000*7.85*1.4/20,1)</f>
        <v>11</v>
      </c>
      <c r="G163" s="8">
        <f>_xlfn.CEILING.MATH(2*Tablo1[[#This Row],[Dış Çap(ømm)]]*3.14*Tablo1[[#This Row],[Et Kalınlığı(mm)]]*3/1000*7.85*1.4/35,1)</f>
        <v>6</v>
      </c>
    </row>
    <row r="164" spans="1:7">
      <c r="A164" s="1" t="s">
        <v>13</v>
      </c>
      <c r="B164" s="2" t="s">
        <v>48</v>
      </c>
      <c r="C164" s="2">
        <v>323.89999999999998</v>
      </c>
      <c r="D164" s="2">
        <v>4</v>
      </c>
      <c r="E164" s="8">
        <f>(Tablo1[[#This Row],[Dış Çap(ømm)]]/$C$140)/$D$140*$E$140*Tablo1[[#This Row],[Et Kalınlığı(mm)]]</f>
        <v>7.5378302712160989</v>
      </c>
      <c r="F164" s="8">
        <f>_xlfn.CEILING.MATH(2*Tablo1[[#This Row],[Dış Çap(ømm)]]*3.14*Tablo1[[#This Row],[Et Kalınlığı(mm)]]*3/1000*7.85*1.4/20,1)</f>
        <v>14</v>
      </c>
      <c r="G164" s="8">
        <f>_xlfn.CEILING.MATH(2*Tablo1[[#This Row],[Dış Çap(ømm)]]*3.14*Tablo1[[#This Row],[Et Kalınlığı(mm)]]*3/1000*7.85*1.4/35,1)</f>
        <v>8</v>
      </c>
    </row>
    <row r="165" spans="1:7">
      <c r="A165" s="1" t="s">
        <v>13</v>
      </c>
      <c r="B165" s="2" t="s">
        <v>48</v>
      </c>
      <c r="C165" s="2">
        <v>323.89999999999998</v>
      </c>
      <c r="D165" s="2">
        <v>5</v>
      </c>
      <c r="E165" s="8">
        <f>(Tablo1[[#This Row],[Dış Çap(ømm)]]/$C$140)/$D$140*$E$140*Tablo1[[#This Row],[Et Kalınlığı(mm)]]</f>
        <v>9.4222878390201235</v>
      </c>
      <c r="F165" s="8">
        <f>_xlfn.CEILING.MATH(2*Tablo1[[#This Row],[Dış Çap(ømm)]]*3.14*Tablo1[[#This Row],[Et Kalınlığı(mm)]]*3/1000*7.85*1.4/20,1)</f>
        <v>17</v>
      </c>
      <c r="G165" s="8">
        <f>_xlfn.CEILING.MATH(2*Tablo1[[#This Row],[Dış Çap(ømm)]]*3.14*Tablo1[[#This Row],[Et Kalınlığı(mm)]]*3/1000*7.85*1.4/35,1)</f>
        <v>10</v>
      </c>
    </row>
    <row r="166" spans="1:7">
      <c r="A166" s="1" t="s">
        <v>14</v>
      </c>
      <c r="B166" s="2" t="s">
        <v>48</v>
      </c>
      <c r="C166" s="2">
        <v>355.6</v>
      </c>
      <c r="D166" s="2">
        <v>2</v>
      </c>
      <c r="E166" s="8">
        <f>(Tablo1[[#This Row],[Dış Çap(ømm)]]/$C$140)/$D$140*$E$140*Tablo1[[#This Row],[Et Kalınlığı(mm)]]</f>
        <v>4.1377777777777789</v>
      </c>
      <c r="F166" s="8">
        <f>_xlfn.CEILING.MATH(2*Tablo1[[#This Row],[Dış Çap(ømm)]]*3.14*Tablo1[[#This Row],[Et Kalınlığı(mm)]]*3/1000*7.85*1.4/20,1)</f>
        <v>8</v>
      </c>
      <c r="G166" s="8">
        <f>_xlfn.CEILING.MATH(2*Tablo1[[#This Row],[Dış Çap(ømm)]]*3.14*Tablo1[[#This Row],[Et Kalınlığı(mm)]]*3/1000*7.85*1.4/35,1)</f>
        <v>5</v>
      </c>
    </row>
    <row r="167" spans="1:7">
      <c r="A167" s="1" t="s">
        <v>14</v>
      </c>
      <c r="B167" s="2" t="s">
        <v>48</v>
      </c>
      <c r="C167" s="2">
        <v>355.6</v>
      </c>
      <c r="D167" s="2">
        <v>3</v>
      </c>
      <c r="E167" s="8">
        <f>(Tablo1[[#This Row],[Dış Çap(ømm)]]/$C$140)/$D$140*$E$140*Tablo1[[#This Row],[Et Kalınlığı(mm)]]</f>
        <v>6.2066666666666688</v>
      </c>
      <c r="F167" s="8">
        <f>_xlfn.CEILING.MATH(2*Tablo1[[#This Row],[Dış Çap(ømm)]]*3.14*Tablo1[[#This Row],[Et Kalınlığı(mm)]]*3/1000*7.85*1.4/20,1)</f>
        <v>12</v>
      </c>
      <c r="G167" s="8">
        <f>_xlfn.CEILING.MATH(2*Tablo1[[#This Row],[Dış Çap(ømm)]]*3.14*Tablo1[[#This Row],[Et Kalınlığı(mm)]]*3/1000*7.85*1.4/35,1)</f>
        <v>7</v>
      </c>
    </row>
    <row r="168" spans="1:7">
      <c r="A168" s="1" t="s">
        <v>14</v>
      </c>
      <c r="B168" s="2" t="s">
        <v>48</v>
      </c>
      <c r="C168" s="2">
        <v>355.6</v>
      </c>
      <c r="D168" s="2">
        <v>4</v>
      </c>
      <c r="E168" s="8">
        <f>(Tablo1[[#This Row],[Dış Çap(ømm)]]/$C$140)/$D$140*$E$140*Tablo1[[#This Row],[Et Kalınlığı(mm)]]</f>
        <v>8.2755555555555578</v>
      </c>
      <c r="F168" s="8">
        <f>_xlfn.CEILING.MATH(2*Tablo1[[#This Row],[Dış Çap(ømm)]]*3.14*Tablo1[[#This Row],[Et Kalınlığı(mm)]]*3/1000*7.85*1.4/20,1)</f>
        <v>15</v>
      </c>
      <c r="G168" s="8">
        <f>_xlfn.CEILING.MATH(2*Tablo1[[#This Row],[Dış Çap(ømm)]]*3.14*Tablo1[[#This Row],[Et Kalınlığı(mm)]]*3/1000*7.85*1.4/35,1)</f>
        <v>9</v>
      </c>
    </row>
    <row r="169" spans="1:7">
      <c r="A169" s="1" t="s">
        <v>14</v>
      </c>
      <c r="B169" s="2" t="s">
        <v>48</v>
      </c>
      <c r="C169" s="2">
        <v>355.6</v>
      </c>
      <c r="D169" s="2">
        <v>5</v>
      </c>
      <c r="E169" s="8">
        <f>(Tablo1[[#This Row],[Dış Çap(ømm)]]/$C$140)/$D$140*$E$140*Tablo1[[#This Row],[Et Kalınlığı(mm)]]</f>
        <v>10.344444444444447</v>
      </c>
      <c r="F169" s="8">
        <f>_xlfn.CEILING.MATH(2*Tablo1[[#This Row],[Dış Çap(ømm)]]*3.14*Tablo1[[#This Row],[Et Kalınlığı(mm)]]*3/1000*7.85*1.4/20,1)</f>
        <v>19</v>
      </c>
      <c r="G169" s="8">
        <f>_xlfn.CEILING.MATH(2*Tablo1[[#This Row],[Dış Çap(ømm)]]*3.14*Tablo1[[#This Row],[Et Kalınlığı(mm)]]*3/1000*7.85*1.4/35,1)</f>
        <v>11</v>
      </c>
    </row>
    <row r="170" spans="1:7">
      <c r="A170" s="1" t="s">
        <v>15</v>
      </c>
      <c r="B170" s="2" t="s">
        <v>48</v>
      </c>
      <c r="C170" s="2">
        <v>406.4</v>
      </c>
      <c r="D170" s="2">
        <v>3</v>
      </c>
      <c r="E170" s="8">
        <f>(Tablo1[[#This Row],[Dış Çap(ømm)]]/$C$140)/$D$140*$E$140*Tablo1[[#This Row],[Et Kalınlığı(mm)]]</f>
        <v>7.0933333333333337</v>
      </c>
      <c r="F170" s="8">
        <f>_xlfn.CEILING.MATH(2*Tablo1[[#This Row],[Dış Çap(ømm)]]*3.14*Tablo1[[#This Row],[Et Kalınlığı(mm)]]*3/1000*7.85*1.4/20,1)</f>
        <v>13</v>
      </c>
      <c r="G170" s="8">
        <f>_xlfn.CEILING.MATH(2*Tablo1[[#This Row],[Dış Çap(ømm)]]*3.14*Tablo1[[#This Row],[Et Kalınlığı(mm)]]*3/1000*7.85*1.4/35,1)</f>
        <v>8</v>
      </c>
    </row>
    <row r="171" spans="1:7">
      <c r="A171" s="1" t="s">
        <v>15</v>
      </c>
      <c r="B171" s="2" t="s">
        <v>48</v>
      </c>
      <c r="C171" s="2">
        <v>406.4</v>
      </c>
      <c r="D171" s="2">
        <v>4</v>
      </c>
      <c r="E171" s="8">
        <f>(Tablo1[[#This Row],[Dış Çap(ømm)]]/$C$140)/$D$140*$E$140*Tablo1[[#This Row],[Et Kalınlığı(mm)]]</f>
        <v>9.4577777777777783</v>
      </c>
      <c r="F171" s="8">
        <f>_xlfn.CEILING.MATH(2*Tablo1[[#This Row],[Dış Çap(ømm)]]*3.14*Tablo1[[#This Row],[Et Kalınlığı(mm)]]*3/1000*7.85*1.4/20,1)</f>
        <v>17</v>
      </c>
      <c r="G171" s="8">
        <f>_xlfn.CEILING.MATH(2*Tablo1[[#This Row],[Dış Çap(ømm)]]*3.14*Tablo1[[#This Row],[Et Kalınlığı(mm)]]*3/1000*7.85*1.4/35,1)</f>
        <v>10</v>
      </c>
    </row>
    <row r="172" spans="1:7">
      <c r="A172" s="1" t="s">
        <v>16</v>
      </c>
      <c r="B172" s="2" t="s">
        <v>48</v>
      </c>
      <c r="C172" s="2">
        <v>457.2</v>
      </c>
      <c r="D172" s="2">
        <v>3</v>
      </c>
      <c r="E172" s="8">
        <f>(Tablo1[[#This Row],[Dış Çap(ømm)]]/$C$140)/$D$140*$E$140*Tablo1[[#This Row],[Et Kalınlığı(mm)]]</f>
        <v>7.98</v>
      </c>
      <c r="F172" s="8">
        <f>_xlfn.CEILING.MATH(2*Tablo1[[#This Row],[Dış Çap(ømm)]]*3.14*Tablo1[[#This Row],[Et Kalınlığı(mm)]]*3/1000*7.85*1.4/20,1)</f>
        <v>15</v>
      </c>
      <c r="G172" s="8">
        <f>_xlfn.CEILING.MATH(2*Tablo1[[#This Row],[Dış Çap(ømm)]]*3.14*Tablo1[[#This Row],[Et Kalınlığı(mm)]]*3/1000*7.85*1.4/35,1)</f>
        <v>9</v>
      </c>
    </row>
    <row r="173" spans="1:7">
      <c r="A173" s="1" t="s">
        <v>16</v>
      </c>
      <c r="B173" s="2" t="s">
        <v>48</v>
      </c>
      <c r="C173" s="2">
        <v>457.2</v>
      </c>
      <c r="D173" s="2">
        <v>4</v>
      </c>
      <c r="E173" s="8">
        <f>(Tablo1[[#This Row],[Dış Çap(ømm)]]/$C$140)/$D$140*$E$140*Tablo1[[#This Row],[Et Kalınlığı(mm)]]</f>
        <v>10.64</v>
      </c>
      <c r="F173" s="8">
        <f>_xlfn.CEILING.MATH(2*Tablo1[[#This Row],[Dış Çap(ømm)]]*3.14*Tablo1[[#This Row],[Et Kalınlığı(mm)]]*3/1000*7.85*1.4/20,1)</f>
        <v>19</v>
      </c>
      <c r="G173" s="8">
        <f>_xlfn.CEILING.MATH(2*Tablo1[[#This Row],[Dış Çap(ømm)]]*3.14*Tablo1[[#This Row],[Et Kalınlığı(mm)]]*3/1000*7.85*1.4/35,1)</f>
        <v>11</v>
      </c>
    </row>
    <row r="174" spans="1:7">
      <c r="A174" s="1" t="s">
        <v>16</v>
      </c>
      <c r="B174" s="2" t="s">
        <v>48</v>
      </c>
      <c r="C174" s="2">
        <v>457.2</v>
      </c>
      <c r="D174" s="2">
        <v>5</v>
      </c>
      <c r="E174" s="8">
        <f>(Tablo1[[#This Row],[Dış Çap(ømm)]]/$C$140)/$D$140*$E$140*Tablo1[[#This Row],[Et Kalınlığı(mm)]]</f>
        <v>13.3</v>
      </c>
      <c r="F174" s="8">
        <f>_xlfn.CEILING.MATH(2*Tablo1[[#This Row],[Dış Çap(ømm)]]*3.14*Tablo1[[#This Row],[Et Kalınlığı(mm)]]*3/1000*7.85*1.4/20,1)</f>
        <v>24</v>
      </c>
      <c r="G174" s="8">
        <f>_xlfn.CEILING.MATH(2*Tablo1[[#This Row],[Dış Çap(ømm)]]*3.14*Tablo1[[#This Row],[Et Kalınlığı(mm)]]*3/1000*7.85*1.4/35,1)</f>
        <v>14</v>
      </c>
    </row>
    <row r="175" spans="1:7">
      <c r="A175" s="1" t="s">
        <v>17</v>
      </c>
      <c r="B175" s="2" t="s">
        <v>48</v>
      </c>
      <c r="C175" s="2">
        <v>508</v>
      </c>
      <c r="D175" s="2">
        <v>3</v>
      </c>
      <c r="E175" s="8">
        <f>(Tablo1[[#This Row],[Dış Çap(ømm)]]/$C$140)/$D$140*$E$140*Tablo1[[#This Row],[Et Kalınlığı(mm)]]</f>
        <v>8.8666666666666671</v>
      </c>
      <c r="F175" s="8">
        <f>_xlfn.CEILING.MATH(2*Tablo1[[#This Row],[Dış Çap(ømm)]]*3.14*Tablo1[[#This Row],[Et Kalınlığı(mm)]]*3/1000*7.85*1.4/20,1)</f>
        <v>16</v>
      </c>
      <c r="G175" s="8">
        <f>_xlfn.CEILING.MATH(2*Tablo1[[#This Row],[Dış Çap(ømm)]]*3.14*Tablo1[[#This Row],[Et Kalınlığı(mm)]]*3/1000*7.85*1.4/35,1)</f>
        <v>10</v>
      </c>
    </row>
    <row r="176" spans="1:7">
      <c r="A176" s="1" t="s">
        <v>17</v>
      </c>
      <c r="B176" s="2" t="s">
        <v>48</v>
      </c>
      <c r="C176" s="2">
        <v>508</v>
      </c>
      <c r="D176" s="2">
        <v>4</v>
      </c>
      <c r="E176" s="8">
        <f>(Tablo1[[#This Row],[Dış Çap(ømm)]]/$C$140)/$D$140*$E$140*Tablo1[[#This Row],[Et Kalınlığı(mm)]]</f>
        <v>11.822222222222223</v>
      </c>
      <c r="F176" s="8">
        <f>_xlfn.CEILING.MATH(2*Tablo1[[#This Row],[Dış Çap(ømm)]]*3.14*Tablo1[[#This Row],[Et Kalınlığı(mm)]]*3/1000*7.85*1.4/20,1)</f>
        <v>22</v>
      </c>
      <c r="G176" s="8">
        <f>_xlfn.CEILING.MATH(2*Tablo1[[#This Row],[Dış Çap(ømm)]]*3.14*Tablo1[[#This Row],[Et Kalınlığı(mm)]]*3/1000*7.85*1.4/35,1)</f>
        <v>13</v>
      </c>
    </row>
    <row r="177" spans="1:7">
      <c r="A177" s="1" t="s">
        <v>17</v>
      </c>
      <c r="B177" s="2" t="s">
        <v>48</v>
      </c>
      <c r="C177" s="2">
        <v>508</v>
      </c>
      <c r="D177" s="2">
        <v>5</v>
      </c>
      <c r="E177" s="8">
        <f>(Tablo1[[#This Row],[Dış Çap(ømm)]]/$C$140)/$D$140*$E$140*Tablo1[[#This Row],[Et Kalınlığı(mm)]]</f>
        <v>14.777777777777779</v>
      </c>
      <c r="F177" s="8">
        <f>_xlfn.CEILING.MATH(2*Tablo1[[#This Row],[Dış Çap(ømm)]]*3.14*Tablo1[[#This Row],[Et Kalınlığı(mm)]]*3/1000*7.85*1.4/20,1)</f>
        <v>27</v>
      </c>
      <c r="G177" s="8">
        <f>_xlfn.CEILING.MATH(2*Tablo1[[#This Row],[Dış Çap(ømm)]]*3.14*Tablo1[[#This Row],[Et Kalınlığı(mm)]]*3/1000*7.85*1.4/35,1)</f>
        <v>16</v>
      </c>
    </row>
    <row r="178" spans="1:7">
      <c r="A178" s="1" t="s">
        <v>18</v>
      </c>
      <c r="B178" s="2" t="s">
        <v>48</v>
      </c>
      <c r="C178" s="2">
        <v>609.6</v>
      </c>
      <c r="D178" s="2">
        <v>4</v>
      </c>
      <c r="E178" s="8">
        <f>(Tablo1[[#This Row],[Dış Çap(ømm)]]/$C$140)/$D$140*$E$140*Tablo1[[#This Row],[Et Kalınlığı(mm)]]</f>
        <v>14.186666666666669</v>
      </c>
      <c r="F178" s="8">
        <f>_xlfn.CEILING.MATH(2*Tablo1[[#This Row],[Dış Çap(ømm)]]*3.14*Tablo1[[#This Row],[Et Kalınlığı(mm)]]*3/1000*7.85*1.4/20,1)</f>
        <v>26</v>
      </c>
      <c r="G178" s="8">
        <f>_xlfn.CEILING.MATH(2*Tablo1[[#This Row],[Dış Çap(ømm)]]*3.14*Tablo1[[#This Row],[Et Kalınlığı(mm)]]*3/1000*7.85*1.4/35,1)</f>
        <v>15</v>
      </c>
    </row>
    <row r="179" spans="1:7">
      <c r="A179" s="1" t="s">
        <v>18</v>
      </c>
      <c r="B179" s="2" t="s">
        <v>48</v>
      </c>
      <c r="C179" s="2">
        <v>609.6</v>
      </c>
      <c r="D179" s="2">
        <v>5</v>
      </c>
      <c r="E179" s="8">
        <f>(Tablo1[[#This Row],[Dış Çap(ømm)]]/$C$140)/$D$140*$E$140*Tablo1[[#This Row],[Et Kalınlığı(mm)]]</f>
        <v>17.733333333333338</v>
      </c>
      <c r="F179" s="8">
        <f>_xlfn.CEILING.MATH(2*Tablo1[[#This Row],[Dış Çap(ømm)]]*3.14*Tablo1[[#This Row],[Et Kalınlığı(mm)]]*3/1000*7.85*1.4/20,1)</f>
        <v>32</v>
      </c>
      <c r="G179" s="8">
        <f>_xlfn.CEILING.MATH(2*Tablo1[[#This Row],[Dış Çap(ømm)]]*3.14*Tablo1[[#This Row],[Et Kalınlığı(mm)]]*3/1000*7.85*1.4/35,1)</f>
        <v>19</v>
      </c>
    </row>
    <row r="180" spans="1:7">
      <c r="A180" s="1" t="s">
        <v>19</v>
      </c>
      <c r="B180" s="2" t="s">
        <v>48</v>
      </c>
      <c r="C180" s="2">
        <v>711.2</v>
      </c>
      <c r="D180" s="2">
        <v>6.35</v>
      </c>
      <c r="E180" s="8">
        <f>(Tablo1[[#This Row],[Dış Çap(ømm)]]/$C$140)/$D$140*$E$140*Tablo1[[#This Row],[Et Kalınlığı(mm)]]</f>
        <v>26.274888888888896</v>
      </c>
      <c r="F180" s="8">
        <f>_xlfn.CEILING.MATH(2*Tablo1[[#This Row],[Dış Çap(ømm)]]*3.14*Tablo1[[#This Row],[Et Kalınlığı(mm)]]*3/1000*7.85*1.4/20,1)</f>
        <v>47</v>
      </c>
      <c r="G180" s="8">
        <f>_xlfn.CEILING.MATH(2*Tablo1[[#This Row],[Dış Çap(ømm)]]*3.14*Tablo1[[#This Row],[Et Kalınlığı(mm)]]*3/1000*7.85*1.4/35,1)</f>
        <v>27</v>
      </c>
    </row>
    <row r="181" spans="1:7">
      <c r="A181" s="1" t="s">
        <v>19</v>
      </c>
      <c r="B181" s="2" t="s">
        <v>48</v>
      </c>
      <c r="C181" s="2">
        <v>711.2</v>
      </c>
      <c r="D181" s="2">
        <v>7.92</v>
      </c>
      <c r="E181" s="8">
        <f>(Tablo1[[#This Row],[Dış Çap(ømm)]]/$C$140)/$D$140*$E$140*Tablo1[[#This Row],[Et Kalınlığı(mm)]]</f>
        <v>32.771200000000007</v>
      </c>
      <c r="F181" s="8">
        <f>_xlfn.CEILING.MATH(2*Tablo1[[#This Row],[Dış Çap(ømm)]]*3.14*Tablo1[[#This Row],[Et Kalınlığı(mm)]]*3/1000*7.85*1.4/20,1)</f>
        <v>59</v>
      </c>
      <c r="G181" s="8">
        <f>_xlfn.CEILING.MATH(2*Tablo1[[#This Row],[Dış Çap(ømm)]]*3.14*Tablo1[[#This Row],[Et Kalınlığı(mm)]]*3/1000*7.85*1.4/35,1)</f>
        <v>34</v>
      </c>
    </row>
    <row r="182" spans="1:7">
      <c r="A182" s="1" t="s">
        <v>19</v>
      </c>
      <c r="B182" s="2" t="s">
        <v>48</v>
      </c>
      <c r="C182" s="2">
        <v>711.2</v>
      </c>
      <c r="D182" s="2">
        <v>9.52</v>
      </c>
      <c r="E182" s="8">
        <f>(Tablo1[[#This Row],[Dış Çap(ømm)]]/$C$140)/$D$140*$E$140*Tablo1[[#This Row],[Et Kalınlığı(mm)]]</f>
        <v>39.391644444444452</v>
      </c>
      <c r="F182" s="8">
        <f>_xlfn.CEILING.MATH(2*Tablo1[[#This Row],[Dış Çap(ømm)]]*3.14*Tablo1[[#This Row],[Et Kalınlığı(mm)]]*3/1000*7.85*1.4/20,1)</f>
        <v>71</v>
      </c>
      <c r="G182" s="8">
        <f>_xlfn.CEILING.MATH(2*Tablo1[[#This Row],[Dış Çap(ømm)]]*3.14*Tablo1[[#This Row],[Et Kalınlığı(mm)]]*3/1000*7.85*1.4/35,1)</f>
        <v>41</v>
      </c>
    </row>
    <row r="183" spans="1:7">
      <c r="A183" s="1" t="s">
        <v>19</v>
      </c>
      <c r="B183" s="2" t="s">
        <v>48</v>
      </c>
      <c r="C183" s="2">
        <v>711.2</v>
      </c>
      <c r="D183" s="2">
        <v>12.7</v>
      </c>
      <c r="E183" s="8">
        <f>(Tablo1[[#This Row],[Dış Çap(ømm)]]/$C$140)/$D$140*$E$140*Tablo1[[#This Row],[Et Kalınlığı(mm)]]</f>
        <v>52.549777777777791</v>
      </c>
      <c r="F183" s="8">
        <f>_xlfn.CEILING.MATH(2*Tablo1[[#This Row],[Dış Çap(ømm)]]*3.14*Tablo1[[#This Row],[Et Kalınlığı(mm)]]*3/1000*7.85*1.4/20,1)</f>
        <v>94</v>
      </c>
      <c r="G183" s="8">
        <f>_xlfn.CEILING.MATH(2*Tablo1[[#This Row],[Dış Çap(ømm)]]*3.14*Tablo1[[#This Row],[Et Kalınlığı(mm)]]*3/1000*7.85*1.4/35,1)</f>
        <v>54</v>
      </c>
    </row>
    <row r="184" spans="1:7">
      <c r="A184" s="1" t="s">
        <v>20</v>
      </c>
      <c r="B184" s="2" t="s">
        <v>48</v>
      </c>
      <c r="C184" s="2">
        <v>812.8</v>
      </c>
      <c r="D184" s="2">
        <v>9.52</v>
      </c>
      <c r="E184" s="8">
        <f>(Tablo1[[#This Row],[Dış Çap(ømm)]]/$C$140)/$D$140*$E$140*Tablo1[[#This Row],[Et Kalınlığı(mm)]]</f>
        <v>45.019022222222226</v>
      </c>
      <c r="F184" s="8">
        <f>_xlfn.CEILING.MATH(2*Tablo1[[#This Row],[Dış Çap(ømm)]]*3.14*Tablo1[[#This Row],[Et Kalınlığı(mm)]]*3/1000*7.85*1.4/20,1)</f>
        <v>81</v>
      </c>
      <c r="G184" s="8">
        <f>_xlfn.CEILING.MATH(2*Tablo1[[#This Row],[Dış Çap(ømm)]]*3.14*Tablo1[[#This Row],[Et Kalınlığı(mm)]]*3/1000*7.85*1.4/35,1)</f>
        <v>46</v>
      </c>
    </row>
    <row r="185" spans="1:7">
      <c r="A185" s="1" t="s">
        <v>20</v>
      </c>
      <c r="B185" s="2" t="s">
        <v>48</v>
      </c>
      <c r="C185" s="2">
        <v>812.8</v>
      </c>
      <c r="D185" s="2">
        <v>12.7</v>
      </c>
      <c r="E185" s="8">
        <f>(Tablo1[[#This Row],[Dış Çap(ømm)]]/$C$140)/$D$140*$E$140*Tablo1[[#This Row],[Et Kalınlığı(mm)]]</f>
        <v>60.056888888888892</v>
      </c>
      <c r="F185" s="8">
        <f>_xlfn.CEILING.MATH(2*Tablo1[[#This Row],[Dış Çap(ømm)]]*3.14*Tablo1[[#This Row],[Et Kalınlığı(mm)]]*3/1000*7.85*1.4/20,1)</f>
        <v>107</v>
      </c>
      <c r="G185" s="8">
        <f>_xlfn.CEILING.MATH(2*Tablo1[[#This Row],[Dış Çap(ømm)]]*3.14*Tablo1[[#This Row],[Et Kalınlığı(mm)]]*3/1000*7.85*1.4/35,1)</f>
        <v>62</v>
      </c>
    </row>
    <row r="186" spans="1:7">
      <c r="A186" s="1" t="s">
        <v>21</v>
      </c>
      <c r="B186" s="2" t="s">
        <v>48</v>
      </c>
      <c r="C186" s="2">
        <v>914.4</v>
      </c>
      <c r="D186" s="2">
        <v>9.52</v>
      </c>
      <c r="E186" s="8">
        <f>(Tablo1[[#This Row],[Dış Çap(ømm)]]/$C$140)/$D$140*$E$140*Tablo1[[#This Row],[Et Kalınlığı(mm)]]</f>
        <v>50.6464</v>
      </c>
      <c r="F186" s="8">
        <f>_xlfn.CEILING.MATH(2*Tablo1[[#This Row],[Dış Çap(ømm)]]*3.14*Tablo1[[#This Row],[Et Kalınlığı(mm)]]*3/1000*7.85*1.4/20,1)</f>
        <v>91</v>
      </c>
      <c r="G186" s="8">
        <f>_xlfn.CEILING.MATH(2*Tablo1[[#This Row],[Dış Çap(ømm)]]*3.14*Tablo1[[#This Row],[Et Kalınlığı(mm)]]*3/1000*7.85*1.4/35,1)</f>
        <v>52</v>
      </c>
    </row>
    <row r="187" spans="1:7">
      <c r="A187" s="1" t="s">
        <v>21</v>
      </c>
      <c r="B187" s="2" t="s">
        <v>48</v>
      </c>
      <c r="C187" s="2">
        <v>914.4</v>
      </c>
      <c r="D187" s="2">
        <v>12.7</v>
      </c>
      <c r="E187" s="8">
        <f>(Tablo1[[#This Row],[Dış Çap(ømm)]]/$C$140)/$D$140*$E$140*Tablo1[[#This Row],[Et Kalınlığı(mm)]]</f>
        <v>67.563999999999993</v>
      </c>
      <c r="F187" s="8">
        <f>_xlfn.CEILING.MATH(2*Tablo1[[#This Row],[Dış Çap(ømm)]]*3.14*Tablo1[[#This Row],[Et Kalınlığı(mm)]]*3/1000*7.85*1.4/20,1)</f>
        <v>121</v>
      </c>
      <c r="G187" s="8">
        <f>_xlfn.CEILING.MATH(2*Tablo1[[#This Row],[Dış Çap(ømm)]]*3.14*Tablo1[[#This Row],[Et Kalınlığı(mm)]]*3/1000*7.85*1.4/35,1)</f>
        <v>69</v>
      </c>
    </row>
    <row r="188" spans="1:7">
      <c r="A188" s="1" t="s">
        <v>22</v>
      </c>
      <c r="B188" s="2" t="s">
        <v>48</v>
      </c>
      <c r="C188" s="2">
        <v>1016</v>
      </c>
      <c r="D188" s="2">
        <v>12.7</v>
      </c>
      <c r="E188" s="8">
        <f>(Tablo1[[#This Row],[Dış Çap(ømm)]]/$C$140)/$D$140*$E$140*Tablo1[[#This Row],[Et Kalınlığı(mm)]]</f>
        <v>75.071111111111108</v>
      </c>
      <c r="F188" s="8">
        <f>_xlfn.CEILING.MATH(2*Tablo1[[#This Row],[Dış Çap(ømm)]]*3.14*Tablo1[[#This Row],[Et Kalınlığı(mm)]]*3/1000*7.85*1.4/20,1)</f>
        <v>134</v>
      </c>
      <c r="G188" s="8">
        <f>_xlfn.CEILING.MATH(2*Tablo1[[#This Row],[Dış Çap(ømm)]]*3.14*Tablo1[[#This Row],[Et Kalınlığı(mm)]]*3/1000*7.85*1.4/35,1)</f>
        <v>77</v>
      </c>
    </row>
    <row r="189" spans="1:7">
      <c r="A189" s="1" t="s">
        <v>0</v>
      </c>
      <c r="B189" s="2" t="s">
        <v>49</v>
      </c>
      <c r="C189" s="2">
        <v>21.3</v>
      </c>
      <c r="D189" s="2">
        <v>1.5</v>
      </c>
      <c r="E189" s="8">
        <f>Tablo1[[#This Row],[Dış Çap(ømm)]]/$C$140/$D$140*Tablo1[[#This Row],[Et Kalınlığı(mm)]]/2</f>
        <v>6.9881889763779528E-2</v>
      </c>
      <c r="F189" s="8">
        <f>_xlfn.CEILING.MATH(2*Tablo1[[#This Row],[Dış Çap(ømm)]]*3.14*Tablo1[[#This Row],[Et Kalınlığı(mm)]]*3/1000*7.85*1.4/20,1)</f>
        <v>1</v>
      </c>
      <c r="G189" s="8">
        <f>_xlfn.CEILING.MATH(2*Tablo1[[#This Row],[Dış Çap(ømm)]]*3.14*Tablo1[[#This Row],[Et Kalınlığı(mm)]]*3/1000*7.85*1.4/35,1)</f>
        <v>1</v>
      </c>
    </row>
    <row r="190" spans="1:7">
      <c r="A190" s="1" t="s">
        <v>0</v>
      </c>
      <c r="B190" s="2" t="s">
        <v>49</v>
      </c>
      <c r="C190" s="2">
        <v>21.3</v>
      </c>
      <c r="D190" s="2">
        <v>1.6</v>
      </c>
      <c r="E190" s="8">
        <f>Tablo1[[#This Row],[Dış Çap(ømm)]]/$C$140/$D$140*Tablo1[[#This Row],[Et Kalınlığı(mm)]]/2</f>
        <v>7.4540682414698176E-2</v>
      </c>
      <c r="F190" s="8">
        <f>_xlfn.CEILING.MATH(2*Tablo1[[#This Row],[Dış Çap(ømm)]]*3.14*Tablo1[[#This Row],[Et Kalınlığı(mm)]]*3/1000*7.85*1.4/20,1)</f>
        <v>1</v>
      </c>
      <c r="G190" s="8">
        <f>_xlfn.CEILING.MATH(2*Tablo1[[#This Row],[Dış Çap(ømm)]]*3.14*Tablo1[[#This Row],[Et Kalınlığı(mm)]]*3/1000*7.85*1.4/35,1)</f>
        <v>1</v>
      </c>
    </row>
    <row r="191" spans="1:7">
      <c r="A191" s="1" t="s">
        <v>0</v>
      </c>
      <c r="B191" s="2" t="s">
        <v>49</v>
      </c>
      <c r="C191" s="2">
        <v>21.3</v>
      </c>
      <c r="D191" s="2">
        <v>2</v>
      </c>
      <c r="E191" s="8">
        <f>Tablo1[[#This Row],[Dış Çap(ømm)]]/$C$140/$D$140*Tablo1[[#This Row],[Et Kalınlığı(mm)]]/2</f>
        <v>9.3175853018372709E-2</v>
      </c>
      <c r="F191" s="8">
        <f>_xlfn.CEILING.MATH(2*Tablo1[[#This Row],[Dış Çap(ømm)]]*3.14*Tablo1[[#This Row],[Et Kalınlığı(mm)]]*3/1000*7.85*1.4/20,1)</f>
        <v>1</v>
      </c>
      <c r="G191" s="8">
        <f>_xlfn.CEILING.MATH(2*Tablo1[[#This Row],[Dış Çap(ømm)]]*3.14*Tablo1[[#This Row],[Et Kalınlığı(mm)]]*3/1000*7.85*1.4/35,1)</f>
        <v>1</v>
      </c>
    </row>
    <row r="192" spans="1:7">
      <c r="A192" s="1" t="s">
        <v>0</v>
      </c>
      <c r="B192" s="2" t="s">
        <v>49</v>
      </c>
      <c r="C192" s="2">
        <v>21.3</v>
      </c>
      <c r="D192" s="2">
        <v>2.5</v>
      </c>
      <c r="E192" s="8">
        <f>Tablo1[[#This Row],[Dış Çap(ømm)]]/$C$140/$D$140*Tablo1[[#This Row],[Et Kalınlığı(mm)]]/2</f>
        <v>0.11646981627296589</v>
      </c>
      <c r="F192" s="8">
        <f>_xlfn.CEILING.MATH(2*Tablo1[[#This Row],[Dış Çap(ømm)]]*3.14*Tablo1[[#This Row],[Et Kalınlığı(mm)]]*3/1000*7.85*1.4/20,1)</f>
        <v>1</v>
      </c>
      <c r="G192" s="8">
        <f>_xlfn.CEILING.MATH(2*Tablo1[[#This Row],[Dış Çap(ømm)]]*3.14*Tablo1[[#This Row],[Et Kalınlığı(mm)]]*3/1000*7.85*1.4/35,1)</f>
        <v>1</v>
      </c>
    </row>
    <row r="193" spans="1:7">
      <c r="A193" s="1" t="s">
        <v>0</v>
      </c>
      <c r="B193" s="2" t="s">
        <v>49</v>
      </c>
      <c r="C193" s="2">
        <v>21.3</v>
      </c>
      <c r="D193" s="2">
        <v>2.5</v>
      </c>
      <c r="E193" s="8">
        <f>Tablo1[[#This Row],[Dış Çap(ømm)]]/$C$140/$D$140*Tablo1[[#This Row],[Et Kalınlığı(mm)]]/2</f>
        <v>0.11646981627296589</v>
      </c>
      <c r="F193" s="8">
        <f>_xlfn.CEILING.MATH(2*Tablo1[[#This Row],[Dış Çap(ømm)]]*3.14*Tablo1[[#This Row],[Et Kalınlığı(mm)]]*3/1000*7.85*1.4/20,1)</f>
        <v>1</v>
      </c>
      <c r="G193" s="8">
        <f>_xlfn.CEILING.MATH(2*Tablo1[[#This Row],[Dış Çap(ømm)]]*3.14*Tablo1[[#This Row],[Et Kalınlığı(mm)]]*3/1000*7.85*1.4/35,1)</f>
        <v>1</v>
      </c>
    </row>
    <row r="194" spans="1:7">
      <c r="A194" s="1" t="s">
        <v>0</v>
      </c>
      <c r="B194" s="2" t="s">
        <v>49</v>
      </c>
      <c r="C194" s="2">
        <v>21.3</v>
      </c>
      <c r="D194" s="2">
        <v>2.6</v>
      </c>
      <c r="E194" s="8">
        <f>Tablo1[[#This Row],[Dış Çap(ømm)]]/$C$140/$D$140*Tablo1[[#This Row],[Et Kalınlığı(mm)]]/2</f>
        <v>0.12112860892388452</v>
      </c>
      <c r="F194" s="8">
        <f>_xlfn.CEILING.MATH(2*Tablo1[[#This Row],[Dış Çap(ømm)]]*3.14*Tablo1[[#This Row],[Et Kalınlığı(mm)]]*3/1000*7.85*1.4/20,1)</f>
        <v>1</v>
      </c>
      <c r="G194" s="8">
        <f>_xlfn.CEILING.MATH(2*Tablo1[[#This Row],[Dış Çap(ømm)]]*3.14*Tablo1[[#This Row],[Et Kalınlığı(mm)]]*3/1000*7.85*1.4/35,1)</f>
        <v>1</v>
      </c>
    </row>
    <row r="195" spans="1:7">
      <c r="A195" s="1" t="s">
        <v>1</v>
      </c>
      <c r="B195" s="2" t="s">
        <v>49</v>
      </c>
      <c r="C195" s="2">
        <v>25.4</v>
      </c>
      <c r="D195" s="2">
        <v>1.5</v>
      </c>
      <c r="E195" s="8">
        <f>Tablo1[[#This Row],[Dış Çap(ømm)]]/$C$140/$D$140*Tablo1[[#This Row],[Et Kalınlığı(mm)]]/2</f>
        <v>8.3333333333333329E-2</v>
      </c>
      <c r="F195" s="8">
        <f>_xlfn.CEILING.MATH(2*Tablo1[[#This Row],[Dış Çap(ømm)]]*3.14*Tablo1[[#This Row],[Et Kalınlığı(mm)]]*3/1000*7.85*1.4/20,1)</f>
        <v>1</v>
      </c>
      <c r="G195" s="8">
        <f>_xlfn.CEILING.MATH(2*Tablo1[[#This Row],[Dış Çap(ømm)]]*3.14*Tablo1[[#This Row],[Et Kalınlığı(mm)]]*3/1000*7.85*1.4/35,1)</f>
        <v>1</v>
      </c>
    </row>
    <row r="196" spans="1:7">
      <c r="A196" s="1" t="s">
        <v>1</v>
      </c>
      <c r="B196" s="2" t="s">
        <v>49</v>
      </c>
      <c r="C196" s="2">
        <v>25.4</v>
      </c>
      <c r="D196" s="2">
        <v>1.6</v>
      </c>
      <c r="E196" s="8">
        <f>Tablo1[[#This Row],[Dış Çap(ømm)]]/$C$140/$D$140*Tablo1[[#This Row],[Et Kalınlığı(mm)]]/2</f>
        <v>8.8888888888888892E-2</v>
      </c>
      <c r="F196" s="8">
        <f>_xlfn.CEILING.MATH(2*Tablo1[[#This Row],[Dış Çap(ømm)]]*3.14*Tablo1[[#This Row],[Et Kalınlığı(mm)]]*3/1000*7.85*1.4/20,1)</f>
        <v>1</v>
      </c>
      <c r="G196" s="8">
        <f>_xlfn.CEILING.MATH(2*Tablo1[[#This Row],[Dış Çap(ømm)]]*3.14*Tablo1[[#This Row],[Et Kalınlığı(mm)]]*3/1000*7.85*1.4/35,1)</f>
        <v>1</v>
      </c>
    </row>
    <row r="197" spans="1:7">
      <c r="A197" s="1" t="s">
        <v>1</v>
      </c>
      <c r="B197" s="2" t="s">
        <v>49</v>
      </c>
      <c r="C197" s="2">
        <v>25.4</v>
      </c>
      <c r="D197" s="2">
        <v>1.8</v>
      </c>
      <c r="E197" s="8">
        <f>Tablo1[[#This Row],[Dış Çap(ømm)]]/$C$140/$D$140*Tablo1[[#This Row],[Et Kalınlığı(mm)]]/2</f>
        <v>9.9999999999999992E-2</v>
      </c>
      <c r="F197" s="8">
        <f>_xlfn.CEILING.MATH(2*Tablo1[[#This Row],[Dış Çap(ømm)]]*3.14*Tablo1[[#This Row],[Et Kalınlığı(mm)]]*3/1000*7.85*1.4/20,1)</f>
        <v>1</v>
      </c>
      <c r="G197" s="8">
        <f>_xlfn.CEILING.MATH(2*Tablo1[[#This Row],[Dış Çap(ømm)]]*3.14*Tablo1[[#This Row],[Et Kalınlığı(mm)]]*3/1000*7.85*1.4/35,1)</f>
        <v>1</v>
      </c>
    </row>
    <row r="198" spans="1:7">
      <c r="A198" s="1" t="s">
        <v>1</v>
      </c>
      <c r="B198" s="2" t="s">
        <v>49</v>
      </c>
      <c r="C198" s="2">
        <v>25.4</v>
      </c>
      <c r="D198" s="2">
        <v>2</v>
      </c>
      <c r="E198" s="8">
        <f>Tablo1[[#This Row],[Dış Çap(ømm)]]/$C$140/$D$140*Tablo1[[#This Row],[Et Kalınlığı(mm)]]/2</f>
        <v>0.1111111111111111</v>
      </c>
      <c r="F198" s="8">
        <f>_xlfn.CEILING.MATH(2*Tablo1[[#This Row],[Dış Çap(ømm)]]*3.14*Tablo1[[#This Row],[Et Kalınlığı(mm)]]*3/1000*7.85*1.4/20,1)</f>
        <v>1</v>
      </c>
      <c r="G198" s="8">
        <f>_xlfn.CEILING.MATH(2*Tablo1[[#This Row],[Dış Çap(ømm)]]*3.14*Tablo1[[#This Row],[Et Kalınlığı(mm)]]*3/1000*7.85*1.4/35,1)</f>
        <v>1</v>
      </c>
    </row>
    <row r="199" spans="1:7">
      <c r="A199" s="1" t="s">
        <v>1</v>
      </c>
      <c r="B199" s="2" t="s">
        <v>49</v>
      </c>
      <c r="C199" s="2">
        <v>25.4</v>
      </c>
      <c r="D199" s="2">
        <v>3</v>
      </c>
      <c r="E199" s="8">
        <f>Tablo1[[#This Row],[Dış Çap(ømm)]]/$C$140/$D$140*Tablo1[[#This Row],[Et Kalınlığı(mm)]]/2</f>
        <v>0.16666666666666666</v>
      </c>
      <c r="F199" s="8">
        <f>_xlfn.CEILING.MATH(2*Tablo1[[#This Row],[Dış Çap(ømm)]]*3.14*Tablo1[[#This Row],[Et Kalınlığı(mm)]]*3/1000*7.85*1.4/20,1)</f>
        <v>1</v>
      </c>
      <c r="G199" s="8">
        <f>_xlfn.CEILING.MATH(2*Tablo1[[#This Row],[Dış Çap(ømm)]]*3.14*Tablo1[[#This Row],[Et Kalınlığı(mm)]]*3/1000*7.85*1.4/35,1)</f>
        <v>1</v>
      </c>
    </row>
    <row r="200" spans="1:7">
      <c r="A200" s="1" t="s">
        <v>2</v>
      </c>
      <c r="B200" s="2" t="s">
        <v>49</v>
      </c>
      <c r="C200" s="2">
        <v>33.700000000000003</v>
      </c>
      <c r="D200" s="2">
        <v>1.5</v>
      </c>
      <c r="E200" s="8">
        <f>Tablo1[[#This Row],[Dış Çap(ømm)]]/$C$140/$D$140*Tablo1[[#This Row],[Et Kalınlığı(mm)]]/2</f>
        <v>0.11056430446194226</v>
      </c>
      <c r="F200" s="8">
        <f>_xlfn.CEILING.MATH(2*Tablo1[[#This Row],[Dış Çap(ømm)]]*3.14*Tablo1[[#This Row],[Et Kalınlığı(mm)]]*3/1000*7.85*1.4/20,1)</f>
        <v>1</v>
      </c>
      <c r="G200" s="8">
        <f>_xlfn.CEILING.MATH(2*Tablo1[[#This Row],[Dış Çap(ømm)]]*3.14*Tablo1[[#This Row],[Et Kalınlığı(mm)]]*3/1000*7.85*1.4/35,1)</f>
        <v>1</v>
      </c>
    </row>
    <row r="201" spans="1:7">
      <c r="A201" s="1" t="s">
        <v>2</v>
      </c>
      <c r="B201" s="2" t="s">
        <v>49</v>
      </c>
      <c r="C201" s="2">
        <v>33.700000000000003</v>
      </c>
      <c r="D201" s="2">
        <v>2</v>
      </c>
      <c r="E201" s="8">
        <f>Tablo1[[#This Row],[Dış Çap(ømm)]]/$C$140/$D$140*Tablo1[[#This Row],[Et Kalınlığı(mm)]]/2</f>
        <v>0.14741907261592302</v>
      </c>
      <c r="F201" s="8">
        <f>_xlfn.CEILING.MATH(2*Tablo1[[#This Row],[Dış Çap(ømm)]]*3.14*Tablo1[[#This Row],[Et Kalınlığı(mm)]]*3/1000*7.85*1.4/20,1)</f>
        <v>1</v>
      </c>
      <c r="G201" s="8">
        <f>_xlfn.CEILING.MATH(2*Tablo1[[#This Row],[Dış Çap(ømm)]]*3.14*Tablo1[[#This Row],[Et Kalınlığı(mm)]]*3/1000*7.85*1.4/35,1)</f>
        <v>1</v>
      </c>
    </row>
    <row r="202" spans="1:7">
      <c r="A202" s="1" t="s">
        <v>2</v>
      </c>
      <c r="B202" s="2" t="s">
        <v>49</v>
      </c>
      <c r="C202" s="2">
        <v>33.700000000000003</v>
      </c>
      <c r="D202" s="2">
        <v>2.6</v>
      </c>
      <c r="E202" s="8">
        <f>Tablo1[[#This Row],[Dış Çap(ømm)]]/$C$140/$D$140*Tablo1[[#This Row],[Et Kalınlığı(mm)]]/2</f>
        <v>0.19164479440069992</v>
      </c>
      <c r="F202" s="8">
        <f>_xlfn.CEILING.MATH(2*Tablo1[[#This Row],[Dış Çap(ømm)]]*3.14*Tablo1[[#This Row],[Et Kalınlığı(mm)]]*3/1000*7.85*1.4/20,1)</f>
        <v>1</v>
      </c>
      <c r="G202" s="8">
        <f>_xlfn.CEILING.MATH(2*Tablo1[[#This Row],[Dış Çap(ømm)]]*3.14*Tablo1[[#This Row],[Et Kalınlığı(mm)]]*3/1000*7.85*1.4/35,1)</f>
        <v>1</v>
      </c>
    </row>
    <row r="203" spans="1:7">
      <c r="A203" s="1" t="s">
        <v>2</v>
      </c>
      <c r="B203" s="2" t="s">
        <v>49</v>
      </c>
      <c r="C203" s="2">
        <v>33.700000000000003</v>
      </c>
      <c r="D203" s="2">
        <v>2.7</v>
      </c>
      <c r="E203" s="8">
        <f>Tablo1[[#This Row],[Dış Çap(ømm)]]/$C$140/$D$140*Tablo1[[#This Row],[Et Kalınlığı(mm)]]/2</f>
        <v>0.19901574803149608</v>
      </c>
      <c r="F203" s="8">
        <f>_xlfn.CEILING.MATH(2*Tablo1[[#This Row],[Dış Çap(ømm)]]*3.14*Tablo1[[#This Row],[Et Kalınlığı(mm)]]*3/1000*7.85*1.4/20,1)</f>
        <v>1</v>
      </c>
      <c r="G203" s="8">
        <f>_xlfn.CEILING.MATH(2*Tablo1[[#This Row],[Dış Çap(ømm)]]*3.14*Tablo1[[#This Row],[Et Kalınlığı(mm)]]*3/1000*7.85*1.4/35,1)</f>
        <v>1</v>
      </c>
    </row>
    <row r="204" spans="1:7">
      <c r="A204" s="1" t="s">
        <v>2</v>
      </c>
      <c r="B204" s="2" t="s">
        <v>49</v>
      </c>
      <c r="C204" s="2">
        <v>33.700000000000003</v>
      </c>
      <c r="D204" s="2">
        <v>3</v>
      </c>
      <c r="E204" s="8">
        <f>Tablo1[[#This Row],[Dış Çap(ømm)]]/$C$140/$D$140*Tablo1[[#This Row],[Et Kalınlığı(mm)]]/2</f>
        <v>0.22112860892388453</v>
      </c>
      <c r="F204" s="8">
        <f>_xlfn.CEILING.MATH(2*Tablo1[[#This Row],[Dış Çap(ømm)]]*3.14*Tablo1[[#This Row],[Et Kalınlığı(mm)]]*3/1000*7.85*1.4/20,1)</f>
        <v>2</v>
      </c>
      <c r="G204" s="8">
        <f>_xlfn.CEILING.MATH(2*Tablo1[[#This Row],[Dış Çap(ømm)]]*3.14*Tablo1[[#This Row],[Et Kalınlığı(mm)]]*3/1000*7.85*1.4/35,1)</f>
        <v>1</v>
      </c>
    </row>
    <row r="205" spans="1:7">
      <c r="A205" s="1" t="s">
        <v>2</v>
      </c>
      <c r="B205" s="2" t="s">
        <v>49</v>
      </c>
      <c r="C205" s="2">
        <v>33.700000000000003</v>
      </c>
      <c r="D205" s="2">
        <v>3.38</v>
      </c>
      <c r="E205" s="8">
        <f>Tablo1[[#This Row],[Dış Çap(ømm)]]/$C$140/$D$140*Tablo1[[#This Row],[Et Kalınlığı(mm)]]/2</f>
        <v>0.2491382327209099</v>
      </c>
      <c r="F205" s="8">
        <f>_xlfn.CEILING.MATH(2*Tablo1[[#This Row],[Dış Çap(ømm)]]*3.14*Tablo1[[#This Row],[Et Kalınlığı(mm)]]*3/1000*7.85*1.4/20,1)</f>
        <v>2</v>
      </c>
      <c r="G205" s="8">
        <f>_xlfn.CEILING.MATH(2*Tablo1[[#This Row],[Dış Çap(ømm)]]*3.14*Tablo1[[#This Row],[Et Kalınlığı(mm)]]*3/1000*7.85*1.4/35,1)</f>
        <v>1</v>
      </c>
    </row>
    <row r="206" spans="1:7">
      <c r="A206" s="1" t="s">
        <v>3</v>
      </c>
      <c r="B206" s="2" t="s">
        <v>49</v>
      </c>
      <c r="C206" s="2">
        <v>42.4</v>
      </c>
      <c r="D206" s="2">
        <v>1.5</v>
      </c>
      <c r="E206" s="8">
        <f>Tablo1[[#This Row],[Dış Çap(ømm)]]/$C$140/$D$140*Tablo1[[#This Row],[Et Kalınlığı(mm)]]/2</f>
        <v>0.13910761154855641</v>
      </c>
      <c r="F206" s="8">
        <f>_xlfn.CEILING.MATH(2*Tablo1[[#This Row],[Dış Çap(ømm)]]*3.14*Tablo1[[#This Row],[Et Kalınlığı(mm)]]*3/1000*7.85*1.4/20,1)</f>
        <v>1</v>
      </c>
      <c r="G206" s="8">
        <f>_xlfn.CEILING.MATH(2*Tablo1[[#This Row],[Dış Çap(ømm)]]*3.14*Tablo1[[#This Row],[Et Kalınlığı(mm)]]*3/1000*7.85*1.4/35,1)</f>
        <v>1</v>
      </c>
    </row>
    <row r="207" spans="1:7">
      <c r="A207" s="1" t="s">
        <v>3</v>
      </c>
      <c r="B207" s="2" t="s">
        <v>49</v>
      </c>
      <c r="C207" s="2">
        <v>42.4</v>
      </c>
      <c r="D207" s="2">
        <v>2</v>
      </c>
      <c r="E207" s="8">
        <f>Tablo1[[#This Row],[Dış Çap(ømm)]]/$C$140/$D$140*Tablo1[[#This Row],[Et Kalınlığı(mm)]]/2</f>
        <v>0.18547681539807523</v>
      </c>
      <c r="F207" s="8">
        <f>_xlfn.CEILING.MATH(2*Tablo1[[#This Row],[Dış Çap(ømm)]]*3.14*Tablo1[[#This Row],[Et Kalınlığı(mm)]]*3/1000*7.85*1.4/20,1)</f>
        <v>1</v>
      </c>
      <c r="G207" s="8">
        <f>_xlfn.CEILING.MATH(2*Tablo1[[#This Row],[Dış Çap(ømm)]]*3.14*Tablo1[[#This Row],[Et Kalınlığı(mm)]]*3/1000*7.85*1.4/35,1)</f>
        <v>1</v>
      </c>
    </row>
    <row r="208" spans="1:7">
      <c r="A208" s="1" t="s">
        <v>3</v>
      </c>
      <c r="B208" s="2" t="s">
        <v>49</v>
      </c>
      <c r="C208" s="2">
        <v>42.4</v>
      </c>
      <c r="D208" s="2">
        <v>2.6</v>
      </c>
      <c r="E208" s="8">
        <f>Tablo1[[#This Row],[Dış Çap(ømm)]]/$C$140/$D$140*Tablo1[[#This Row],[Et Kalınlığı(mm)]]/2</f>
        <v>0.2411198600174978</v>
      </c>
      <c r="F208" s="8">
        <f>_xlfn.CEILING.MATH(2*Tablo1[[#This Row],[Dış Çap(ømm)]]*3.14*Tablo1[[#This Row],[Et Kalınlığı(mm)]]*3/1000*7.85*1.4/20,1)</f>
        <v>2</v>
      </c>
      <c r="G208" s="8">
        <f>_xlfn.CEILING.MATH(2*Tablo1[[#This Row],[Dış Çap(ømm)]]*3.14*Tablo1[[#This Row],[Et Kalınlığı(mm)]]*3/1000*7.85*1.4/35,1)</f>
        <v>1</v>
      </c>
    </row>
    <row r="209" spans="1:7">
      <c r="A209" s="1" t="s">
        <v>3</v>
      </c>
      <c r="B209" s="2" t="s">
        <v>49</v>
      </c>
      <c r="C209" s="2">
        <v>42.4</v>
      </c>
      <c r="D209" s="2">
        <v>3</v>
      </c>
      <c r="E209" s="8">
        <f>Tablo1[[#This Row],[Dış Çap(ømm)]]/$C$140/$D$140*Tablo1[[#This Row],[Et Kalınlığı(mm)]]/2</f>
        <v>0.27821522309711283</v>
      </c>
      <c r="F209" s="8">
        <f>_xlfn.CEILING.MATH(2*Tablo1[[#This Row],[Dış Çap(ømm)]]*3.14*Tablo1[[#This Row],[Et Kalınlığı(mm)]]*3/1000*7.85*1.4/20,1)</f>
        <v>2</v>
      </c>
      <c r="G209" s="8">
        <f>_xlfn.CEILING.MATH(2*Tablo1[[#This Row],[Dış Çap(ømm)]]*3.14*Tablo1[[#This Row],[Et Kalınlığı(mm)]]*3/1000*7.85*1.4/35,1)</f>
        <v>1</v>
      </c>
    </row>
    <row r="210" spans="1:7">
      <c r="A210" s="1" t="s">
        <v>3</v>
      </c>
      <c r="B210" s="2" t="s">
        <v>49</v>
      </c>
      <c r="C210" s="2">
        <v>42.4</v>
      </c>
      <c r="D210" s="2">
        <v>3.6</v>
      </c>
      <c r="E210" s="8">
        <f>Tablo1[[#This Row],[Dış Çap(ømm)]]/$C$140/$D$140*Tablo1[[#This Row],[Et Kalınlığı(mm)]]/2</f>
        <v>0.33385826771653543</v>
      </c>
      <c r="F210" s="8">
        <f>_xlfn.CEILING.MATH(2*Tablo1[[#This Row],[Dış Çap(ømm)]]*3.14*Tablo1[[#This Row],[Et Kalınlığı(mm)]]*3/1000*7.85*1.4/20,1)</f>
        <v>2</v>
      </c>
      <c r="G210" s="8">
        <f>_xlfn.CEILING.MATH(2*Tablo1[[#This Row],[Dış Çap(ømm)]]*3.14*Tablo1[[#This Row],[Et Kalınlığı(mm)]]*3/1000*7.85*1.4/35,1)</f>
        <v>1</v>
      </c>
    </row>
    <row r="211" spans="1:7">
      <c r="A211" s="1" t="s">
        <v>4</v>
      </c>
      <c r="B211" s="2" t="s">
        <v>49</v>
      </c>
      <c r="C211" s="2">
        <v>48.3</v>
      </c>
      <c r="D211" s="2">
        <v>1.5</v>
      </c>
      <c r="E211" s="8">
        <f>Tablo1[[#This Row],[Dış Çap(ømm)]]/$C$140/$D$140*Tablo1[[#This Row],[Et Kalınlığı(mm)]]/2</f>
        <v>0.15846456692913385</v>
      </c>
      <c r="F211" s="8">
        <f>_xlfn.CEILING.MATH(2*Tablo1[[#This Row],[Dış Çap(ømm)]]*3.14*Tablo1[[#This Row],[Et Kalınlığı(mm)]]*3/1000*7.85*1.4/20,1)</f>
        <v>1</v>
      </c>
      <c r="G211" s="8">
        <f>_xlfn.CEILING.MATH(2*Tablo1[[#This Row],[Dış Çap(ømm)]]*3.14*Tablo1[[#This Row],[Et Kalınlığı(mm)]]*3/1000*7.85*1.4/35,1)</f>
        <v>1</v>
      </c>
    </row>
    <row r="212" spans="1:7">
      <c r="A212" s="1" t="s">
        <v>4</v>
      </c>
      <c r="B212" s="2" t="s">
        <v>49</v>
      </c>
      <c r="C212" s="2">
        <v>48.3</v>
      </c>
      <c r="D212" s="2">
        <v>2</v>
      </c>
      <c r="E212" s="8">
        <f>Tablo1[[#This Row],[Dış Çap(ømm)]]/$C$140/$D$140*Tablo1[[#This Row],[Et Kalınlığı(mm)]]/2</f>
        <v>0.21128608923884515</v>
      </c>
      <c r="F212" s="8">
        <f>_xlfn.CEILING.MATH(2*Tablo1[[#This Row],[Dış Çap(ømm)]]*3.14*Tablo1[[#This Row],[Et Kalınlığı(mm)]]*3/1000*7.85*1.4/20,1)</f>
        <v>2</v>
      </c>
      <c r="G212" s="8">
        <f>_xlfn.CEILING.MATH(2*Tablo1[[#This Row],[Dış Çap(ømm)]]*3.14*Tablo1[[#This Row],[Et Kalınlığı(mm)]]*3/1000*7.85*1.4/35,1)</f>
        <v>1</v>
      </c>
    </row>
    <row r="213" spans="1:7">
      <c r="A213" s="1" t="s">
        <v>4</v>
      </c>
      <c r="B213" s="2" t="s">
        <v>49</v>
      </c>
      <c r="C213" s="2">
        <v>48.3</v>
      </c>
      <c r="D213" s="2">
        <v>2.6</v>
      </c>
      <c r="E213" s="8">
        <f>Tablo1[[#This Row],[Dış Çap(ømm)]]/$C$140/$D$140*Tablo1[[#This Row],[Et Kalınlığı(mm)]]/2</f>
        <v>0.27467191601049873</v>
      </c>
      <c r="F213" s="8">
        <f>_xlfn.CEILING.MATH(2*Tablo1[[#This Row],[Dış Çap(ømm)]]*3.14*Tablo1[[#This Row],[Et Kalınlığı(mm)]]*3/1000*7.85*1.4/20,1)</f>
        <v>2</v>
      </c>
      <c r="G213" s="8">
        <f>_xlfn.CEILING.MATH(2*Tablo1[[#This Row],[Dış Çap(ømm)]]*3.14*Tablo1[[#This Row],[Et Kalınlığı(mm)]]*3/1000*7.85*1.4/35,1)</f>
        <v>1</v>
      </c>
    </row>
    <row r="214" spans="1:7">
      <c r="A214" s="1" t="s">
        <v>4</v>
      </c>
      <c r="B214" s="2" t="s">
        <v>49</v>
      </c>
      <c r="C214" s="2">
        <v>48.3</v>
      </c>
      <c r="D214" s="2">
        <v>3</v>
      </c>
      <c r="E214" s="8">
        <f>Tablo1[[#This Row],[Dış Çap(ømm)]]/$C$140/$D$140*Tablo1[[#This Row],[Et Kalınlığı(mm)]]/2</f>
        <v>0.31692913385826771</v>
      </c>
      <c r="F214" s="8">
        <f>_xlfn.CEILING.MATH(2*Tablo1[[#This Row],[Dış Çap(ømm)]]*3.14*Tablo1[[#This Row],[Et Kalınlığı(mm)]]*3/1000*7.85*1.4/20,1)</f>
        <v>2</v>
      </c>
      <c r="G214" s="8">
        <f>_xlfn.CEILING.MATH(2*Tablo1[[#This Row],[Dış Çap(ømm)]]*3.14*Tablo1[[#This Row],[Et Kalınlığı(mm)]]*3/1000*7.85*1.4/35,1)</f>
        <v>1</v>
      </c>
    </row>
    <row r="215" spans="1:7">
      <c r="A215" s="1" t="s">
        <v>5</v>
      </c>
      <c r="B215" s="2" t="s">
        <v>49</v>
      </c>
      <c r="C215" s="2">
        <v>60.3</v>
      </c>
      <c r="D215" s="2">
        <v>1.5</v>
      </c>
      <c r="E215" s="8">
        <f>Tablo1[[#This Row],[Dış Çap(ømm)]]/$C$140/$D$140*Tablo1[[#This Row],[Et Kalınlığı(mm)]]/2</f>
        <v>0.19783464566929132</v>
      </c>
      <c r="F215" s="8">
        <f>_xlfn.CEILING.MATH(2*Tablo1[[#This Row],[Dış Çap(ømm)]]*3.14*Tablo1[[#This Row],[Et Kalınlığı(mm)]]*3/1000*7.85*1.4/20,1)</f>
        <v>1</v>
      </c>
      <c r="G215" s="8">
        <f>_xlfn.CEILING.MATH(2*Tablo1[[#This Row],[Dış Çap(ømm)]]*3.14*Tablo1[[#This Row],[Et Kalınlığı(mm)]]*3/1000*7.85*1.4/35,1)</f>
        <v>1</v>
      </c>
    </row>
    <row r="216" spans="1:7">
      <c r="A216" s="1" t="s">
        <v>5</v>
      </c>
      <c r="B216" s="2" t="s">
        <v>49</v>
      </c>
      <c r="C216" s="2">
        <v>60.3</v>
      </c>
      <c r="D216" s="2">
        <v>1.6</v>
      </c>
      <c r="E216" s="8">
        <f>Tablo1[[#This Row],[Dış Çap(ømm)]]/$C$140/$D$140*Tablo1[[#This Row],[Et Kalınlığı(mm)]]/2</f>
        <v>0.21102362204724409</v>
      </c>
      <c r="F216" s="8">
        <f>_xlfn.CEILING.MATH(2*Tablo1[[#This Row],[Dış Çap(ømm)]]*3.14*Tablo1[[#This Row],[Et Kalınlığı(mm)]]*3/1000*7.85*1.4/20,1)</f>
        <v>1</v>
      </c>
      <c r="G216" s="8">
        <f>_xlfn.CEILING.MATH(2*Tablo1[[#This Row],[Dış Çap(ømm)]]*3.14*Tablo1[[#This Row],[Et Kalınlığı(mm)]]*3/1000*7.85*1.4/35,1)</f>
        <v>1</v>
      </c>
    </row>
    <row r="217" spans="1:7">
      <c r="A217" s="1" t="s">
        <v>5</v>
      </c>
      <c r="B217" s="2" t="s">
        <v>49</v>
      </c>
      <c r="C217" s="2">
        <v>60.3</v>
      </c>
      <c r="D217" s="2">
        <v>2</v>
      </c>
      <c r="E217" s="8">
        <f>Tablo1[[#This Row],[Dış Çap(ømm)]]/$C$140/$D$140*Tablo1[[#This Row],[Et Kalınlığı(mm)]]/2</f>
        <v>0.26377952755905509</v>
      </c>
      <c r="F217" s="8">
        <f>_xlfn.CEILING.MATH(2*Tablo1[[#This Row],[Dış Çap(ømm)]]*3.14*Tablo1[[#This Row],[Et Kalınlığı(mm)]]*3/1000*7.85*1.4/20,1)</f>
        <v>2</v>
      </c>
      <c r="G217" s="8">
        <f>_xlfn.CEILING.MATH(2*Tablo1[[#This Row],[Dış Çap(ømm)]]*3.14*Tablo1[[#This Row],[Et Kalınlığı(mm)]]*3/1000*7.85*1.4/35,1)</f>
        <v>1</v>
      </c>
    </row>
    <row r="218" spans="1:7">
      <c r="A218" s="1" t="s">
        <v>5</v>
      </c>
      <c r="B218" s="2" t="s">
        <v>49</v>
      </c>
      <c r="C218" s="2">
        <v>60.3</v>
      </c>
      <c r="D218" s="2">
        <v>2.6</v>
      </c>
      <c r="E218" s="8">
        <f>Tablo1[[#This Row],[Dış Çap(ømm)]]/$C$140/$D$140*Tablo1[[#This Row],[Et Kalınlığı(mm)]]/2</f>
        <v>0.34291338582677161</v>
      </c>
      <c r="F218" s="8">
        <f>_xlfn.CEILING.MATH(2*Tablo1[[#This Row],[Dış Çap(ømm)]]*3.14*Tablo1[[#This Row],[Et Kalınlığı(mm)]]*3/1000*7.85*1.4/20,1)</f>
        <v>2</v>
      </c>
      <c r="G218" s="8">
        <f>_xlfn.CEILING.MATH(2*Tablo1[[#This Row],[Dış Çap(ømm)]]*3.14*Tablo1[[#This Row],[Et Kalınlığı(mm)]]*3/1000*7.85*1.4/35,1)</f>
        <v>1</v>
      </c>
    </row>
    <row r="219" spans="1:7">
      <c r="A219" s="1" t="s">
        <v>5</v>
      </c>
      <c r="B219" s="2" t="s">
        <v>49</v>
      </c>
      <c r="C219" s="2">
        <v>60.3</v>
      </c>
      <c r="D219" s="2">
        <v>3</v>
      </c>
      <c r="E219" s="8">
        <f>Tablo1[[#This Row],[Dış Çap(ømm)]]/$C$140/$D$140*Tablo1[[#This Row],[Et Kalınlığı(mm)]]/2</f>
        <v>0.39566929133858264</v>
      </c>
      <c r="F219" s="8">
        <f>_xlfn.CEILING.MATH(2*Tablo1[[#This Row],[Dış Çap(ømm)]]*3.14*Tablo1[[#This Row],[Et Kalınlığı(mm)]]*3/1000*7.85*1.4/20,1)</f>
        <v>2</v>
      </c>
      <c r="G219" s="8">
        <f>_xlfn.CEILING.MATH(2*Tablo1[[#This Row],[Dış Çap(ømm)]]*3.14*Tablo1[[#This Row],[Et Kalınlığı(mm)]]*3/1000*7.85*1.4/35,1)</f>
        <v>2</v>
      </c>
    </row>
    <row r="220" spans="1:7">
      <c r="A220" s="1" t="s">
        <v>5</v>
      </c>
      <c r="B220" s="2" t="s">
        <v>49</v>
      </c>
      <c r="C220" s="2">
        <v>60.3</v>
      </c>
      <c r="D220" s="2">
        <v>4</v>
      </c>
      <c r="E220" s="8">
        <f>Tablo1[[#This Row],[Dış Çap(ømm)]]/$C$140/$D$140*Tablo1[[#This Row],[Et Kalınlığı(mm)]]/2</f>
        <v>0.52755905511811019</v>
      </c>
      <c r="F220" s="8">
        <f>_xlfn.CEILING.MATH(2*Tablo1[[#This Row],[Dış Çap(ømm)]]*3.14*Tablo1[[#This Row],[Et Kalınlığı(mm)]]*3/1000*7.85*1.4/20,1)</f>
        <v>3</v>
      </c>
      <c r="G220" s="8">
        <f>_xlfn.CEILING.MATH(2*Tablo1[[#This Row],[Dış Çap(ømm)]]*3.14*Tablo1[[#This Row],[Et Kalınlığı(mm)]]*3/1000*7.85*1.4/35,1)</f>
        <v>2</v>
      </c>
    </row>
    <row r="221" spans="1:7">
      <c r="A221" s="1" t="s">
        <v>6</v>
      </c>
      <c r="B221" s="2" t="s">
        <v>49</v>
      </c>
      <c r="C221" s="2">
        <v>76.099999999999994</v>
      </c>
      <c r="D221" s="2">
        <v>1.5</v>
      </c>
      <c r="E221" s="8">
        <f>Tablo1[[#This Row],[Dış Çap(ømm)]]/$C$140/$D$140*Tablo1[[#This Row],[Et Kalınlığı(mm)]]/2</f>
        <v>0.24967191601049865</v>
      </c>
      <c r="F221" s="8">
        <f>_xlfn.CEILING.MATH(2*Tablo1[[#This Row],[Dış Çap(ømm)]]*3.14*Tablo1[[#This Row],[Et Kalınlığı(mm)]]*3/1000*7.85*1.4/20,1)</f>
        <v>2</v>
      </c>
      <c r="G221" s="8">
        <f>_xlfn.CEILING.MATH(2*Tablo1[[#This Row],[Dış Çap(ømm)]]*3.14*Tablo1[[#This Row],[Et Kalınlığı(mm)]]*3/1000*7.85*1.4/35,1)</f>
        <v>1</v>
      </c>
    </row>
    <row r="222" spans="1:7">
      <c r="A222" s="1" t="s">
        <v>6</v>
      </c>
      <c r="B222" s="2" t="s">
        <v>49</v>
      </c>
      <c r="C222" s="2">
        <v>76.099999999999994</v>
      </c>
      <c r="D222" s="2">
        <v>1.6</v>
      </c>
      <c r="E222" s="8">
        <f>Tablo1[[#This Row],[Dış Çap(ømm)]]/$C$140/$D$140*Tablo1[[#This Row],[Et Kalınlığı(mm)]]/2</f>
        <v>0.26631671041119859</v>
      </c>
      <c r="F222" s="8">
        <f>_xlfn.CEILING.MATH(2*Tablo1[[#This Row],[Dış Çap(ømm)]]*3.14*Tablo1[[#This Row],[Et Kalınlığı(mm)]]*3/1000*7.85*1.4/20,1)</f>
        <v>2</v>
      </c>
      <c r="G222" s="8">
        <f>_xlfn.CEILING.MATH(2*Tablo1[[#This Row],[Dış Çap(ømm)]]*3.14*Tablo1[[#This Row],[Et Kalınlığı(mm)]]*3/1000*7.85*1.4/35,1)</f>
        <v>1</v>
      </c>
    </row>
    <row r="223" spans="1:7">
      <c r="A223" s="1" t="s">
        <v>6</v>
      </c>
      <c r="B223" s="2" t="s">
        <v>49</v>
      </c>
      <c r="C223" s="2">
        <v>76.099999999999994</v>
      </c>
      <c r="D223" s="2">
        <v>2</v>
      </c>
      <c r="E223" s="8">
        <f>Tablo1[[#This Row],[Dış Çap(ømm)]]/$C$140/$D$140*Tablo1[[#This Row],[Et Kalınlığı(mm)]]/2</f>
        <v>0.33289588801399822</v>
      </c>
      <c r="F223" s="8">
        <f>_xlfn.CEILING.MATH(2*Tablo1[[#This Row],[Dış Çap(ømm)]]*3.14*Tablo1[[#This Row],[Et Kalınlığı(mm)]]*3/1000*7.85*1.4/20,1)</f>
        <v>2</v>
      </c>
      <c r="G223" s="8">
        <f>_xlfn.CEILING.MATH(2*Tablo1[[#This Row],[Dış Çap(ømm)]]*3.14*Tablo1[[#This Row],[Et Kalınlığı(mm)]]*3/1000*7.85*1.4/35,1)</f>
        <v>1</v>
      </c>
    </row>
    <row r="224" spans="1:7">
      <c r="A224" s="1" t="s">
        <v>6</v>
      </c>
      <c r="B224" s="2" t="s">
        <v>49</v>
      </c>
      <c r="C224" s="2">
        <v>76.099999999999994</v>
      </c>
      <c r="D224" s="2">
        <v>2.6</v>
      </c>
      <c r="E224" s="8">
        <f>Tablo1[[#This Row],[Dış Çap(ømm)]]/$C$140/$D$140*Tablo1[[#This Row],[Et Kalınlığı(mm)]]/2</f>
        <v>0.43276465441819773</v>
      </c>
      <c r="F224" s="8">
        <f>_xlfn.CEILING.MATH(2*Tablo1[[#This Row],[Dış Çap(ømm)]]*3.14*Tablo1[[#This Row],[Et Kalınlığı(mm)]]*3/1000*7.85*1.4/20,1)</f>
        <v>3</v>
      </c>
      <c r="G224" s="8">
        <f>_xlfn.CEILING.MATH(2*Tablo1[[#This Row],[Dış Çap(ømm)]]*3.14*Tablo1[[#This Row],[Et Kalınlığı(mm)]]*3/1000*7.85*1.4/35,1)</f>
        <v>2</v>
      </c>
    </row>
    <row r="225" spans="1:7">
      <c r="A225" s="1" t="s">
        <v>6</v>
      </c>
      <c r="B225" s="2" t="s">
        <v>49</v>
      </c>
      <c r="C225" s="2">
        <v>76.099999999999994</v>
      </c>
      <c r="D225" s="2">
        <v>3</v>
      </c>
      <c r="E225" s="8">
        <f>Tablo1[[#This Row],[Dış Çap(ømm)]]/$C$140/$D$140*Tablo1[[#This Row],[Et Kalınlığı(mm)]]/2</f>
        <v>0.4993438320209973</v>
      </c>
      <c r="F225" s="8">
        <f>_xlfn.CEILING.MATH(2*Tablo1[[#This Row],[Dış Çap(ømm)]]*3.14*Tablo1[[#This Row],[Et Kalınlığı(mm)]]*3/1000*7.85*1.4/20,1)</f>
        <v>3</v>
      </c>
      <c r="G225" s="8">
        <f>_xlfn.CEILING.MATH(2*Tablo1[[#This Row],[Dış Çap(ømm)]]*3.14*Tablo1[[#This Row],[Et Kalınlığı(mm)]]*3/1000*7.85*1.4/35,1)</f>
        <v>2</v>
      </c>
    </row>
    <row r="226" spans="1:7">
      <c r="A226" s="1" t="s">
        <v>6</v>
      </c>
      <c r="B226" s="2" t="s">
        <v>49</v>
      </c>
      <c r="C226" s="2">
        <v>76.099999999999994</v>
      </c>
      <c r="D226" s="2">
        <v>4</v>
      </c>
      <c r="E226" s="8">
        <f>Tablo1[[#This Row],[Dış Çap(ømm)]]/$C$140/$D$140*Tablo1[[#This Row],[Et Kalınlığı(mm)]]/2</f>
        <v>0.66579177602799644</v>
      </c>
      <c r="F226" s="8">
        <f>_xlfn.CEILING.MATH(2*Tablo1[[#This Row],[Dış Çap(ømm)]]*3.14*Tablo1[[#This Row],[Et Kalınlığı(mm)]]*3/1000*7.85*1.4/20,1)</f>
        <v>4</v>
      </c>
      <c r="G226" s="8">
        <f>_xlfn.CEILING.MATH(2*Tablo1[[#This Row],[Dış Çap(ømm)]]*3.14*Tablo1[[#This Row],[Et Kalınlığı(mm)]]*3/1000*7.85*1.4/35,1)</f>
        <v>2</v>
      </c>
    </row>
    <row r="227" spans="1:7">
      <c r="A227" s="1" t="s">
        <v>7</v>
      </c>
      <c r="B227" s="2" t="s">
        <v>49</v>
      </c>
      <c r="C227" s="2">
        <v>88.9</v>
      </c>
      <c r="D227" s="2">
        <v>1.5</v>
      </c>
      <c r="E227" s="8">
        <f>Tablo1[[#This Row],[Dış Çap(ømm)]]/$C$140/$D$140*Tablo1[[#This Row],[Et Kalınlığı(mm)]]/2</f>
        <v>0.29166666666666674</v>
      </c>
      <c r="F227" s="8">
        <f>_xlfn.CEILING.MATH(2*Tablo1[[#This Row],[Dış Çap(ømm)]]*3.14*Tablo1[[#This Row],[Et Kalınlığı(mm)]]*3/1000*7.85*1.4/20,1)</f>
        <v>2</v>
      </c>
      <c r="G227" s="8">
        <f>_xlfn.CEILING.MATH(2*Tablo1[[#This Row],[Dış Çap(ømm)]]*3.14*Tablo1[[#This Row],[Et Kalınlığı(mm)]]*3/1000*7.85*1.4/35,1)</f>
        <v>1</v>
      </c>
    </row>
    <row r="228" spans="1:7">
      <c r="A228" s="1" t="s">
        <v>7</v>
      </c>
      <c r="B228" s="2" t="s">
        <v>49</v>
      </c>
      <c r="C228" s="2">
        <v>88.9</v>
      </c>
      <c r="D228" s="2">
        <v>1.6</v>
      </c>
      <c r="E228" s="8">
        <f>Tablo1[[#This Row],[Dış Çap(ømm)]]/$C$140/$D$140*Tablo1[[#This Row],[Et Kalınlığı(mm)]]/2</f>
        <v>0.31111111111111117</v>
      </c>
      <c r="F228" s="8">
        <f>_xlfn.CEILING.MATH(2*Tablo1[[#This Row],[Dış Çap(ømm)]]*3.14*Tablo1[[#This Row],[Et Kalınlığı(mm)]]*3/1000*7.85*1.4/20,1)</f>
        <v>2</v>
      </c>
      <c r="G228" s="8">
        <f>_xlfn.CEILING.MATH(2*Tablo1[[#This Row],[Dış Çap(ømm)]]*3.14*Tablo1[[#This Row],[Et Kalınlığı(mm)]]*3/1000*7.85*1.4/35,1)</f>
        <v>1</v>
      </c>
    </row>
    <row r="229" spans="1:7">
      <c r="A229" s="1" t="s">
        <v>7</v>
      </c>
      <c r="B229" s="2" t="s">
        <v>49</v>
      </c>
      <c r="C229" s="2">
        <v>88.9</v>
      </c>
      <c r="D229" s="2">
        <v>2</v>
      </c>
      <c r="E229" s="8">
        <f>Tablo1[[#This Row],[Dış Çap(ømm)]]/$C$140/$D$140*Tablo1[[#This Row],[Et Kalınlığı(mm)]]/2</f>
        <v>0.38888888888888895</v>
      </c>
      <c r="F229" s="8">
        <f>_xlfn.CEILING.MATH(2*Tablo1[[#This Row],[Dış Çap(ømm)]]*3.14*Tablo1[[#This Row],[Et Kalınlığı(mm)]]*3/1000*7.85*1.4/20,1)</f>
        <v>2</v>
      </c>
      <c r="G229" s="8">
        <f>_xlfn.CEILING.MATH(2*Tablo1[[#This Row],[Dış Çap(ømm)]]*3.14*Tablo1[[#This Row],[Et Kalınlığı(mm)]]*3/1000*7.85*1.4/35,1)</f>
        <v>2</v>
      </c>
    </row>
    <row r="230" spans="1:7">
      <c r="A230" s="1" t="s">
        <v>7</v>
      </c>
      <c r="B230" s="2" t="s">
        <v>49</v>
      </c>
      <c r="C230" s="2">
        <v>88.9</v>
      </c>
      <c r="D230" s="2">
        <v>2.6</v>
      </c>
      <c r="E230" s="8">
        <f>Tablo1[[#This Row],[Dış Çap(ømm)]]/$C$140/$D$140*Tablo1[[#This Row],[Et Kalınlığı(mm)]]/2</f>
        <v>0.50555555555555565</v>
      </c>
      <c r="F230" s="8">
        <f>_xlfn.CEILING.MATH(2*Tablo1[[#This Row],[Dış Çap(ømm)]]*3.14*Tablo1[[#This Row],[Et Kalınlığı(mm)]]*3/1000*7.85*1.4/20,1)</f>
        <v>3</v>
      </c>
      <c r="G230" s="8">
        <f>_xlfn.CEILING.MATH(2*Tablo1[[#This Row],[Dış Çap(ømm)]]*3.14*Tablo1[[#This Row],[Et Kalınlığı(mm)]]*3/1000*7.85*1.4/35,1)</f>
        <v>2</v>
      </c>
    </row>
    <row r="231" spans="1:7">
      <c r="A231" s="1" t="s">
        <v>7</v>
      </c>
      <c r="B231" s="2" t="s">
        <v>49</v>
      </c>
      <c r="C231" s="2">
        <v>88.9</v>
      </c>
      <c r="D231" s="2">
        <v>3</v>
      </c>
      <c r="E231" s="8">
        <f>Tablo1[[#This Row],[Dış Çap(ømm)]]/$C$140/$D$140*Tablo1[[#This Row],[Et Kalınlığı(mm)]]/2</f>
        <v>0.58333333333333348</v>
      </c>
      <c r="F231" s="8">
        <f>_xlfn.CEILING.MATH(2*Tablo1[[#This Row],[Dış Çap(ømm)]]*3.14*Tablo1[[#This Row],[Et Kalınlığı(mm)]]*3/1000*7.85*1.4/20,1)</f>
        <v>3</v>
      </c>
      <c r="G231" s="8">
        <f>_xlfn.CEILING.MATH(2*Tablo1[[#This Row],[Dış Çap(ømm)]]*3.14*Tablo1[[#This Row],[Et Kalınlığı(mm)]]*3/1000*7.85*1.4/35,1)</f>
        <v>2</v>
      </c>
    </row>
    <row r="232" spans="1:7">
      <c r="A232" s="1" t="s">
        <v>7</v>
      </c>
      <c r="B232" s="2" t="s">
        <v>49</v>
      </c>
      <c r="C232" s="2">
        <v>88.9</v>
      </c>
      <c r="D232" s="2">
        <v>4</v>
      </c>
      <c r="E232" s="8">
        <f>Tablo1[[#This Row],[Dış Çap(ømm)]]/$C$140/$D$140*Tablo1[[#This Row],[Et Kalınlığı(mm)]]/2</f>
        <v>0.7777777777777779</v>
      </c>
      <c r="F232" s="8">
        <f>_xlfn.CEILING.MATH(2*Tablo1[[#This Row],[Dış Çap(ømm)]]*3.14*Tablo1[[#This Row],[Et Kalınlığı(mm)]]*3/1000*7.85*1.4/20,1)</f>
        <v>4</v>
      </c>
      <c r="G232" s="8">
        <f>_xlfn.CEILING.MATH(2*Tablo1[[#This Row],[Dış Çap(ømm)]]*3.14*Tablo1[[#This Row],[Et Kalınlığı(mm)]]*3/1000*7.85*1.4/35,1)</f>
        <v>3</v>
      </c>
    </row>
    <row r="233" spans="1:7">
      <c r="A233" s="1" t="s">
        <v>8</v>
      </c>
      <c r="B233" s="2" t="s">
        <v>49</v>
      </c>
      <c r="C233" s="2">
        <v>114.3</v>
      </c>
      <c r="D233" s="2">
        <v>2</v>
      </c>
      <c r="E233" s="8">
        <f>Tablo1[[#This Row],[Dış Çap(ømm)]]/$C$140/$D$140*Tablo1[[#This Row],[Et Kalınlığı(mm)]]/2</f>
        <v>0.5</v>
      </c>
      <c r="F233" s="8">
        <f>_xlfn.CEILING.MATH(2*Tablo1[[#This Row],[Dış Çap(ømm)]]*3.14*Tablo1[[#This Row],[Et Kalınlığı(mm)]]*3/1000*7.85*1.4/20,1)</f>
        <v>3</v>
      </c>
      <c r="G233" s="8">
        <f>_xlfn.CEILING.MATH(2*Tablo1[[#This Row],[Dış Çap(ømm)]]*3.14*Tablo1[[#This Row],[Et Kalınlığı(mm)]]*3/1000*7.85*1.4/35,1)</f>
        <v>2</v>
      </c>
    </row>
    <row r="234" spans="1:7">
      <c r="A234" s="1" t="s">
        <v>8</v>
      </c>
      <c r="B234" s="2" t="s">
        <v>49</v>
      </c>
      <c r="C234" s="2">
        <v>114.3</v>
      </c>
      <c r="D234" s="2">
        <v>2.6</v>
      </c>
      <c r="E234" s="8">
        <f>Tablo1[[#This Row],[Dış Çap(ømm)]]/$C$140/$D$140*Tablo1[[#This Row],[Et Kalınlığı(mm)]]/2</f>
        <v>0.65</v>
      </c>
      <c r="F234" s="8">
        <f>_xlfn.CEILING.MATH(2*Tablo1[[#This Row],[Dış Çap(ømm)]]*3.14*Tablo1[[#This Row],[Et Kalınlığı(mm)]]*3/1000*7.85*1.4/20,1)</f>
        <v>4</v>
      </c>
      <c r="G234" s="8">
        <f>_xlfn.CEILING.MATH(2*Tablo1[[#This Row],[Dış Çap(ømm)]]*3.14*Tablo1[[#This Row],[Et Kalınlığı(mm)]]*3/1000*7.85*1.4/35,1)</f>
        <v>2</v>
      </c>
    </row>
    <row r="235" spans="1:7">
      <c r="A235" s="1" t="s">
        <v>8</v>
      </c>
      <c r="B235" s="2" t="s">
        <v>49</v>
      </c>
      <c r="C235" s="2">
        <v>114.3</v>
      </c>
      <c r="D235" s="2">
        <v>3</v>
      </c>
      <c r="E235" s="8">
        <f>Tablo1[[#This Row],[Dış Çap(ømm)]]/$C$140/$D$140*Tablo1[[#This Row],[Et Kalınlığı(mm)]]/2</f>
        <v>0.75</v>
      </c>
      <c r="F235" s="8">
        <f>_xlfn.CEILING.MATH(2*Tablo1[[#This Row],[Dış Çap(ømm)]]*3.14*Tablo1[[#This Row],[Et Kalınlığı(mm)]]*3/1000*7.85*1.4/20,1)</f>
        <v>4</v>
      </c>
      <c r="G235" s="8">
        <f>_xlfn.CEILING.MATH(2*Tablo1[[#This Row],[Dış Çap(ømm)]]*3.14*Tablo1[[#This Row],[Et Kalınlığı(mm)]]*3/1000*7.85*1.4/35,1)</f>
        <v>3</v>
      </c>
    </row>
    <row r="236" spans="1:7">
      <c r="A236" s="1" t="s">
        <v>8</v>
      </c>
      <c r="B236" s="2" t="s">
        <v>49</v>
      </c>
      <c r="C236" s="2">
        <v>114.3</v>
      </c>
      <c r="D236" s="2">
        <v>3.6</v>
      </c>
      <c r="E236" s="8">
        <f>Tablo1[[#This Row],[Dış Çap(ømm)]]/$C$140/$D$140*Tablo1[[#This Row],[Et Kalınlığı(mm)]]/2</f>
        <v>0.9</v>
      </c>
      <c r="F236" s="8">
        <f>_xlfn.CEILING.MATH(2*Tablo1[[#This Row],[Dış Çap(ømm)]]*3.14*Tablo1[[#This Row],[Et Kalınlığı(mm)]]*3/1000*7.85*1.4/20,1)</f>
        <v>5</v>
      </c>
      <c r="G236" s="8">
        <f>_xlfn.CEILING.MATH(2*Tablo1[[#This Row],[Dış Çap(ømm)]]*3.14*Tablo1[[#This Row],[Et Kalınlığı(mm)]]*3/1000*7.85*1.4/35,1)</f>
        <v>3</v>
      </c>
    </row>
    <row r="237" spans="1:7">
      <c r="A237" s="1" t="s">
        <v>8</v>
      </c>
      <c r="B237" s="2" t="s">
        <v>49</v>
      </c>
      <c r="C237" s="2">
        <v>114.3</v>
      </c>
      <c r="D237" s="2">
        <v>4</v>
      </c>
      <c r="E237" s="8">
        <f>Tablo1[[#This Row],[Dış Çap(ømm)]]/$C$140/$D$140*Tablo1[[#This Row],[Et Kalınlığı(mm)]]/2</f>
        <v>1</v>
      </c>
      <c r="F237" s="8">
        <f>_xlfn.CEILING.MATH(2*Tablo1[[#This Row],[Dış Çap(ømm)]]*3.14*Tablo1[[#This Row],[Et Kalınlığı(mm)]]*3/1000*7.85*1.4/20,1)</f>
        <v>5</v>
      </c>
      <c r="G237" s="8">
        <f>_xlfn.CEILING.MATH(2*Tablo1[[#This Row],[Dış Çap(ømm)]]*3.14*Tablo1[[#This Row],[Et Kalınlığı(mm)]]*3/1000*7.85*1.4/35,1)</f>
        <v>3</v>
      </c>
    </row>
    <row r="238" spans="1:7">
      <c r="A238" s="1" t="s">
        <v>9</v>
      </c>
      <c r="B238" s="2" t="s">
        <v>49</v>
      </c>
      <c r="C238" s="2">
        <v>139.69999999999999</v>
      </c>
      <c r="D238" s="2">
        <v>2</v>
      </c>
      <c r="E238" s="8">
        <f>Tablo1[[#This Row],[Dış Çap(ømm)]]/$C$140/$D$140*Tablo1[[#This Row],[Et Kalınlığı(mm)]]/2</f>
        <v>0.61111111111111105</v>
      </c>
      <c r="F238" s="8">
        <f>_xlfn.CEILING.MATH(2*Tablo1[[#This Row],[Dış Çap(ømm)]]*3.14*Tablo1[[#This Row],[Et Kalınlığı(mm)]]*3/1000*7.85*1.4/20,1)</f>
        <v>3</v>
      </c>
      <c r="G238" s="8">
        <f>_xlfn.CEILING.MATH(2*Tablo1[[#This Row],[Dış Çap(ømm)]]*3.14*Tablo1[[#This Row],[Et Kalınlığı(mm)]]*3/1000*7.85*1.4/35,1)</f>
        <v>2</v>
      </c>
    </row>
    <row r="239" spans="1:7">
      <c r="A239" s="1" t="s">
        <v>9</v>
      </c>
      <c r="B239" s="2" t="s">
        <v>49</v>
      </c>
      <c r="C239" s="2">
        <v>139.69999999999999</v>
      </c>
      <c r="D239" s="2">
        <v>2.6</v>
      </c>
      <c r="E239" s="8">
        <f>Tablo1[[#This Row],[Dış Çap(ømm)]]/$C$140/$D$140*Tablo1[[#This Row],[Et Kalınlığı(mm)]]/2</f>
        <v>0.7944444444444444</v>
      </c>
      <c r="F239" s="8">
        <f>_xlfn.CEILING.MATH(2*Tablo1[[#This Row],[Dış Çap(ømm)]]*3.14*Tablo1[[#This Row],[Et Kalınlığı(mm)]]*3/1000*7.85*1.4/20,1)</f>
        <v>4</v>
      </c>
      <c r="G239" s="8">
        <f>_xlfn.CEILING.MATH(2*Tablo1[[#This Row],[Dış Çap(ømm)]]*3.14*Tablo1[[#This Row],[Et Kalınlığı(mm)]]*3/1000*7.85*1.4/35,1)</f>
        <v>3</v>
      </c>
    </row>
    <row r="240" spans="1:7">
      <c r="A240" s="1" t="s">
        <v>9</v>
      </c>
      <c r="B240" s="2" t="s">
        <v>49</v>
      </c>
      <c r="C240" s="2">
        <v>139.69999999999999</v>
      </c>
      <c r="D240" s="2">
        <v>3</v>
      </c>
      <c r="E240" s="8">
        <f>Tablo1[[#This Row],[Dış Çap(ømm)]]/$C$140/$D$140*Tablo1[[#This Row],[Et Kalınlığı(mm)]]/2</f>
        <v>0.91666666666666652</v>
      </c>
      <c r="F240" s="8">
        <f>_xlfn.CEILING.MATH(2*Tablo1[[#This Row],[Dış Çap(ømm)]]*3.14*Tablo1[[#This Row],[Et Kalınlığı(mm)]]*3/1000*7.85*1.4/20,1)</f>
        <v>5</v>
      </c>
      <c r="G240" s="8">
        <f>_xlfn.CEILING.MATH(2*Tablo1[[#This Row],[Dış Çap(ømm)]]*3.14*Tablo1[[#This Row],[Et Kalınlığı(mm)]]*3/1000*7.85*1.4/35,1)</f>
        <v>3</v>
      </c>
    </row>
    <row r="241" spans="1:7">
      <c r="A241" s="1" t="s">
        <v>9</v>
      </c>
      <c r="B241" s="2" t="s">
        <v>49</v>
      </c>
      <c r="C241" s="2">
        <v>139.69999999999999</v>
      </c>
      <c r="D241" s="2">
        <v>4</v>
      </c>
      <c r="E241" s="8">
        <f>Tablo1[[#This Row],[Dış Çap(ømm)]]/$C$140/$D$140*Tablo1[[#This Row],[Et Kalınlığı(mm)]]/2</f>
        <v>1.2222222222222221</v>
      </c>
      <c r="F241" s="8">
        <f>_xlfn.CEILING.MATH(2*Tablo1[[#This Row],[Dış Çap(ømm)]]*3.14*Tablo1[[#This Row],[Et Kalınlığı(mm)]]*3/1000*7.85*1.4/20,1)</f>
        <v>6</v>
      </c>
      <c r="G241" s="8">
        <f>_xlfn.CEILING.MATH(2*Tablo1[[#This Row],[Dış Çap(ømm)]]*3.14*Tablo1[[#This Row],[Et Kalınlığı(mm)]]*3/1000*7.85*1.4/35,1)</f>
        <v>4</v>
      </c>
    </row>
    <row r="242" spans="1:7">
      <c r="A242" s="1" t="s">
        <v>10</v>
      </c>
      <c r="B242" s="2" t="s">
        <v>49</v>
      </c>
      <c r="C242" s="2">
        <v>168.3</v>
      </c>
      <c r="D242" s="2">
        <v>2</v>
      </c>
      <c r="E242" s="8">
        <f>Tablo1[[#This Row],[Dış Çap(ømm)]]/$C$140/$D$140*Tablo1[[#This Row],[Et Kalınlığı(mm)]]/2</f>
        <v>0.73622047244094491</v>
      </c>
      <c r="F242" s="8">
        <f>_xlfn.CEILING.MATH(2*Tablo1[[#This Row],[Dış Çap(ømm)]]*3.14*Tablo1[[#This Row],[Et Kalınlığı(mm)]]*3/1000*7.85*1.4/20,1)</f>
        <v>4</v>
      </c>
      <c r="G242" s="8">
        <f>_xlfn.CEILING.MATH(2*Tablo1[[#This Row],[Dış Çap(ømm)]]*3.14*Tablo1[[#This Row],[Et Kalınlığı(mm)]]*3/1000*7.85*1.4/35,1)</f>
        <v>2</v>
      </c>
    </row>
    <row r="243" spans="1:7">
      <c r="A243" s="1" t="s">
        <v>10</v>
      </c>
      <c r="B243" s="2" t="s">
        <v>49</v>
      </c>
      <c r="C243" s="2">
        <v>168.3</v>
      </c>
      <c r="D243" s="2">
        <v>2.6</v>
      </c>
      <c r="E243" s="8">
        <f>Tablo1[[#This Row],[Dış Çap(ømm)]]/$C$140/$D$140*Tablo1[[#This Row],[Et Kalınlığı(mm)]]/2</f>
        <v>0.95708661417322838</v>
      </c>
      <c r="F243" s="8">
        <f>_xlfn.CEILING.MATH(2*Tablo1[[#This Row],[Dış Çap(ømm)]]*3.14*Tablo1[[#This Row],[Et Kalınlığı(mm)]]*3/1000*7.85*1.4/20,1)</f>
        <v>5</v>
      </c>
      <c r="G243" s="8">
        <f>_xlfn.CEILING.MATH(2*Tablo1[[#This Row],[Dış Çap(ømm)]]*3.14*Tablo1[[#This Row],[Et Kalınlığı(mm)]]*3/1000*7.85*1.4/35,1)</f>
        <v>3</v>
      </c>
    </row>
    <row r="244" spans="1:7">
      <c r="A244" s="1" t="s">
        <v>10</v>
      </c>
      <c r="B244" s="2" t="s">
        <v>49</v>
      </c>
      <c r="C244" s="2">
        <v>168.3</v>
      </c>
      <c r="D244" s="2">
        <v>3</v>
      </c>
      <c r="E244" s="8">
        <f>Tablo1[[#This Row],[Dış Çap(ømm)]]/$C$140/$D$140*Tablo1[[#This Row],[Et Kalınlığı(mm)]]/2</f>
        <v>1.1043307086614174</v>
      </c>
      <c r="F244" s="8">
        <f>_xlfn.CEILING.MATH(2*Tablo1[[#This Row],[Dış Çap(ømm)]]*3.14*Tablo1[[#This Row],[Et Kalınlığı(mm)]]*3/1000*7.85*1.4/20,1)</f>
        <v>6</v>
      </c>
      <c r="G244" s="8">
        <f>_xlfn.CEILING.MATH(2*Tablo1[[#This Row],[Dış Çap(ømm)]]*3.14*Tablo1[[#This Row],[Et Kalınlığı(mm)]]*3/1000*7.85*1.4/35,1)</f>
        <v>3</v>
      </c>
    </row>
    <row r="245" spans="1:7">
      <c r="A245" s="1" t="s">
        <v>10</v>
      </c>
      <c r="B245" s="2" t="s">
        <v>49</v>
      </c>
      <c r="C245" s="2">
        <v>168.3</v>
      </c>
      <c r="D245" s="2">
        <v>4</v>
      </c>
      <c r="E245" s="8">
        <f>Tablo1[[#This Row],[Dış Çap(ømm)]]/$C$140/$D$140*Tablo1[[#This Row],[Et Kalınlığı(mm)]]/2</f>
        <v>1.4724409448818898</v>
      </c>
      <c r="F245" s="8">
        <f>_xlfn.CEILING.MATH(2*Tablo1[[#This Row],[Dış Çap(ømm)]]*3.14*Tablo1[[#This Row],[Et Kalınlığı(mm)]]*3/1000*7.85*1.4/20,1)</f>
        <v>7</v>
      </c>
      <c r="G245" s="8">
        <f>_xlfn.CEILING.MATH(2*Tablo1[[#This Row],[Dış Çap(ømm)]]*3.14*Tablo1[[#This Row],[Et Kalınlığı(mm)]]*3/1000*7.85*1.4/35,1)</f>
        <v>4</v>
      </c>
    </row>
    <row r="246" spans="1:7">
      <c r="A246" s="1" t="s">
        <v>11</v>
      </c>
      <c r="B246" s="2" t="s">
        <v>49</v>
      </c>
      <c r="C246" s="2">
        <v>219.1</v>
      </c>
      <c r="D246" s="2">
        <v>2</v>
      </c>
      <c r="E246" s="8">
        <f>Tablo1[[#This Row],[Dış Çap(ømm)]]/$C$140/$D$140*Tablo1[[#This Row],[Et Kalınlığı(mm)]]/2</f>
        <v>0.95844269466316712</v>
      </c>
      <c r="F246" s="8">
        <f>_xlfn.CEILING.MATH(2*Tablo1[[#This Row],[Dış Çap(ømm)]]*3.14*Tablo1[[#This Row],[Et Kalınlığı(mm)]]*3/1000*7.85*1.4/20,1)</f>
        <v>5</v>
      </c>
      <c r="G246" s="8">
        <f>_xlfn.CEILING.MATH(2*Tablo1[[#This Row],[Dış Çap(ømm)]]*3.14*Tablo1[[#This Row],[Et Kalınlığı(mm)]]*3/1000*7.85*1.4/35,1)</f>
        <v>3</v>
      </c>
    </row>
    <row r="247" spans="1:7">
      <c r="A247" s="1" t="s">
        <v>11</v>
      </c>
      <c r="B247" s="2" t="s">
        <v>49</v>
      </c>
      <c r="C247" s="2">
        <v>219.1</v>
      </c>
      <c r="D247" s="2">
        <v>2.6</v>
      </c>
      <c r="E247" s="8">
        <f>Tablo1[[#This Row],[Dış Çap(ømm)]]/$C$140/$D$140*Tablo1[[#This Row],[Et Kalınlığı(mm)]]/2</f>
        <v>1.2459755030621174</v>
      </c>
      <c r="F247" s="8">
        <f>_xlfn.CEILING.MATH(2*Tablo1[[#This Row],[Dış Çap(ømm)]]*3.14*Tablo1[[#This Row],[Et Kalınlığı(mm)]]*3/1000*7.85*1.4/20,1)</f>
        <v>6</v>
      </c>
      <c r="G247" s="8">
        <f>_xlfn.CEILING.MATH(2*Tablo1[[#This Row],[Dış Çap(ømm)]]*3.14*Tablo1[[#This Row],[Et Kalınlığı(mm)]]*3/1000*7.85*1.4/35,1)</f>
        <v>4</v>
      </c>
    </row>
    <row r="248" spans="1:7">
      <c r="A248" s="1" t="s">
        <v>11</v>
      </c>
      <c r="B248" s="2" t="s">
        <v>49</v>
      </c>
      <c r="C248" s="2">
        <v>219.1</v>
      </c>
      <c r="D248" s="2">
        <v>3</v>
      </c>
      <c r="E248" s="8">
        <f>Tablo1[[#This Row],[Dış Çap(ømm)]]/$C$140/$D$140*Tablo1[[#This Row],[Et Kalınlığı(mm)]]/2</f>
        <v>1.4376640419947506</v>
      </c>
      <c r="F248" s="8">
        <f>_xlfn.CEILING.MATH(2*Tablo1[[#This Row],[Dış Çap(ømm)]]*3.14*Tablo1[[#This Row],[Et Kalınlığı(mm)]]*3/1000*7.85*1.4/20,1)</f>
        <v>7</v>
      </c>
      <c r="G248" s="8">
        <f>_xlfn.CEILING.MATH(2*Tablo1[[#This Row],[Dış Çap(ømm)]]*3.14*Tablo1[[#This Row],[Et Kalınlığı(mm)]]*3/1000*7.85*1.4/35,1)</f>
        <v>4</v>
      </c>
    </row>
    <row r="249" spans="1:7">
      <c r="A249" s="1" t="s">
        <v>11</v>
      </c>
      <c r="B249" s="2" t="s">
        <v>49</v>
      </c>
      <c r="C249" s="2">
        <v>219.1</v>
      </c>
      <c r="D249" s="2">
        <v>4</v>
      </c>
      <c r="E249" s="8">
        <f>Tablo1[[#This Row],[Dış Çap(ømm)]]/$C$140/$D$140*Tablo1[[#This Row],[Et Kalınlığı(mm)]]/2</f>
        <v>1.9168853893263342</v>
      </c>
      <c r="F249" s="8">
        <f>_xlfn.CEILING.MATH(2*Tablo1[[#This Row],[Dış Çap(ømm)]]*3.14*Tablo1[[#This Row],[Et Kalınlığı(mm)]]*3/1000*7.85*1.4/20,1)</f>
        <v>10</v>
      </c>
      <c r="G249" s="8">
        <f>_xlfn.CEILING.MATH(2*Tablo1[[#This Row],[Dış Çap(ømm)]]*3.14*Tablo1[[#This Row],[Et Kalınlığı(mm)]]*3/1000*7.85*1.4/35,1)</f>
        <v>6</v>
      </c>
    </row>
    <row r="250" spans="1:7">
      <c r="A250" s="1" t="s">
        <v>11</v>
      </c>
      <c r="B250" s="2" t="s">
        <v>49</v>
      </c>
      <c r="C250" s="2">
        <v>219.1</v>
      </c>
      <c r="D250" s="2">
        <v>5</v>
      </c>
      <c r="E250" s="8">
        <f>Tablo1[[#This Row],[Dış Çap(ømm)]]/$C$140/$D$140*Tablo1[[#This Row],[Et Kalınlığı(mm)]]/2</f>
        <v>2.3961067366579178</v>
      </c>
      <c r="F250" s="8">
        <f>_xlfn.CEILING.MATH(2*Tablo1[[#This Row],[Dış Çap(ømm)]]*3.14*Tablo1[[#This Row],[Et Kalınlığı(mm)]]*3/1000*7.85*1.4/20,1)</f>
        <v>12</v>
      </c>
      <c r="G250" s="8">
        <f>_xlfn.CEILING.MATH(2*Tablo1[[#This Row],[Dış Çap(ømm)]]*3.14*Tablo1[[#This Row],[Et Kalınlığı(mm)]]*3/1000*7.85*1.4/35,1)</f>
        <v>7</v>
      </c>
    </row>
    <row r="251" spans="1:7">
      <c r="A251" s="1" t="s">
        <v>12</v>
      </c>
      <c r="B251" s="2" t="s">
        <v>49</v>
      </c>
      <c r="C251" s="2">
        <v>273</v>
      </c>
      <c r="D251" s="2">
        <v>2</v>
      </c>
      <c r="E251" s="8">
        <f>Tablo1[[#This Row],[Dış Çap(ømm)]]/$C$140/$D$140*Tablo1[[#This Row],[Et Kalınlığı(mm)]]/2</f>
        <v>1.1942257217847769</v>
      </c>
      <c r="F251" s="8">
        <f>_xlfn.CEILING.MATH(2*Tablo1[[#This Row],[Dış Çap(ømm)]]*3.14*Tablo1[[#This Row],[Et Kalınlığı(mm)]]*3/1000*7.85*1.4/20,1)</f>
        <v>6</v>
      </c>
      <c r="G251" s="8">
        <f>_xlfn.CEILING.MATH(2*Tablo1[[#This Row],[Dış Çap(ømm)]]*3.14*Tablo1[[#This Row],[Et Kalınlığı(mm)]]*3/1000*7.85*1.4/35,1)</f>
        <v>4</v>
      </c>
    </row>
    <row r="252" spans="1:7">
      <c r="A252" s="1" t="s">
        <v>12</v>
      </c>
      <c r="B252" s="2" t="s">
        <v>49</v>
      </c>
      <c r="C252" s="2">
        <v>273</v>
      </c>
      <c r="D252" s="2">
        <v>3</v>
      </c>
      <c r="E252" s="8">
        <f>Tablo1[[#This Row],[Dış Çap(ømm)]]/$C$140/$D$140*Tablo1[[#This Row],[Et Kalınlığı(mm)]]/2</f>
        <v>1.7913385826771653</v>
      </c>
      <c r="F252" s="8">
        <f>_xlfn.CEILING.MATH(2*Tablo1[[#This Row],[Dış Çap(ømm)]]*3.14*Tablo1[[#This Row],[Et Kalınlığı(mm)]]*3/1000*7.85*1.4/20,1)</f>
        <v>9</v>
      </c>
      <c r="G252" s="8">
        <f>_xlfn.CEILING.MATH(2*Tablo1[[#This Row],[Dış Çap(ømm)]]*3.14*Tablo1[[#This Row],[Et Kalınlığı(mm)]]*3/1000*7.85*1.4/35,1)</f>
        <v>5</v>
      </c>
    </row>
    <row r="253" spans="1:7">
      <c r="A253" s="1" t="s">
        <v>12</v>
      </c>
      <c r="B253" s="2" t="s">
        <v>49</v>
      </c>
      <c r="C253" s="2">
        <v>273</v>
      </c>
      <c r="D253" s="2">
        <v>4</v>
      </c>
      <c r="E253" s="8">
        <f>Tablo1[[#This Row],[Dış Çap(ømm)]]/$C$140/$D$140*Tablo1[[#This Row],[Et Kalınlığı(mm)]]/2</f>
        <v>2.3884514435695539</v>
      </c>
      <c r="F253" s="8">
        <f>_xlfn.CEILING.MATH(2*Tablo1[[#This Row],[Dış Çap(ømm)]]*3.14*Tablo1[[#This Row],[Et Kalınlığı(mm)]]*3/1000*7.85*1.4/20,1)</f>
        <v>12</v>
      </c>
      <c r="G253" s="8">
        <f>_xlfn.CEILING.MATH(2*Tablo1[[#This Row],[Dış Çap(ømm)]]*3.14*Tablo1[[#This Row],[Et Kalınlığı(mm)]]*3/1000*7.85*1.4/35,1)</f>
        <v>7</v>
      </c>
    </row>
    <row r="254" spans="1:7">
      <c r="A254" s="1" t="s">
        <v>12</v>
      </c>
      <c r="B254" s="2" t="s">
        <v>49</v>
      </c>
      <c r="C254" s="2">
        <v>273</v>
      </c>
      <c r="D254" s="2">
        <v>5</v>
      </c>
      <c r="E254" s="8">
        <f>Tablo1[[#This Row],[Dış Çap(ømm)]]/$C$140/$D$140*Tablo1[[#This Row],[Et Kalınlığı(mm)]]/2</f>
        <v>2.9855643044619424</v>
      </c>
      <c r="F254" s="8">
        <f>_xlfn.CEILING.MATH(2*Tablo1[[#This Row],[Dış Çap(ømm)]]*3.14*Tablo1[[#This Row],[Et Kalınlığı(mm)]]*3/1000*7.85*1.4/20,1)</f>
        <v>15</v>
      </c>
      <c r="G254" s="8">
        <f>_xlfn.CEILING.MATH(2*Tablo1[[#This Row],[Dış Çap(ømm)]]*3.14*Tablo1[[#This Row],[Et Kalınlığı(mm)]]*3/1000*7.85*1.4/35,1)</f>
        <v>9</v>
      </c>
    </row>
    <row r="255" spans="1:7">
      <c r="A255" s="1" t="s">
        <v>13</v>
      </c>
      <c r="B255" s="2" t="s">
        <v>49</v>
      </c>
      <c r="C255" s="2">
        <v>323.89999999999998</v>
      </c>
      <c r="D255" s="2">
        <v>2</v>
      </c>
      <c r="E255" s="8">
        <f>Tablo1[[#This Row],[Dış Çap(ømm)]]/$C$140/$D$140*Tablo1[[#This Row],[Et Kalınlığı(mm)]]/2</f>
        <v>1.4168853893263342</v>
      </c>
      <c r="F255" s="8">
        <f>_xlfn.CEILING.MATH(2*Tablo1[[#This Row],[Dış Çap(ømm)]]*3.14*Tablo1[[#This Row],[Et Kalınlığı(mm)]]*3/1000*7.85*1.4/20,1)</f>
        <v>7</v>
      </c>
      <c r="G255" s="8">
        <f>_xlfn.CEILING.MATH(2*Tablo1[[#This Row],[Dış Çap(ømm)]]*3.14*Tablo1[[#This Row],[Et Kalınlığı(mm)]]*3/1000*7.85*1.4/35,1)</f>
        <v>4</v>
      </c>
    </row>
    <row r="256" spans="1:7">
      <c r="A256" s="1" t="s">
        <v>13</v>
      </c>
      <c r="B256" s="2" t="s">
        <v>49</v>
      </c>
      <c r="C256" s="2">
        <v>323.89999999999998</v>
      </c>
      <c r="D256" s="2">
        <v>3</v>
      </c>
      <c r="E256" s="8">
        <f>Tablo1[[#This Row],[Dış Çap(ømm)]]/$C$140/$D$140*Tablo1[[#This Row],[Et Kalınlığı(mm)]]/2</f>
        <v>2.1253280839895012</v>
      </c>
      <c r="F256" s="8">
        <f>_xlfn.CEILING.MATH(2*Tablo1[[#This Row],[Dış Çap(ømm)]]*3.14*Tablo1[[#This Row],[Et Kalınlığı(mm)]]*3/1000*7.85*1.4/20,1)</f>
        <v>11</v>
      </c>
      <c r="G256" s="8">
        <f>_xlfn.CEILING.MATH(2*Tablo1[[#This Row],[Dış Çap(ømm)]]*3.14*Tablo1[[#This Row],[Et Kalınlığı(mm)]]*3/1000*7.85*1.4/35,1)</f>
        <v>6</v>
      </c>
    </row>
    <row r="257" spans="1:7">
      <c r="A257" s="1" t="s">
        <v>13</v>
      </c>
      <c r="B257" s="2" t="s">
        <v>49</v>
      </c>
      <c r="C257" s="2">
        <v>323.89999999999998</v>
      </c>
      <c r="D257" s="2">
        <v>4</v>
      </c>
      <c r="E257" s="8">
        <f>Tablo1[[#This Row],[Dış Çap(ømm)]]/$C$140/$D$140*Tablo1[[#This Row],[Et Kalınlığı(mm)]]/2</f>
        <v>2.8337707786526685</v>
      </c>
      <c r="F257" s="8">
        <f>_xlfn.CEILING.MATH(2*Tablo1[[#This Row],[Dış Çap(ømm)]]*3.14*Tablo1[[#This Row],[Et Kalınlığı(mm)]]*3/1000*7.85*1.4/20,1)</f>
        <v>14</v>
      </c>
      <c r="G257" s="8">
        <f>_xlfn.CEILING.MATH(2*Tablo1[[#This Row],[Dış Çap(ømm)]]*3.14*Tablo1[[#This Row],[Et Kalınlığı(mm)]]*3/1000*7.85*1.4/35,1)</f>
        <v>8</v>
      </c>
    </row>
    <row r="258" spans="1:7">
      <c r="A258" s="1" t="s">
        <v>13</v>
      </c>
      <c r="B258" s="2" t="s">
        <v>49</v>
      </c>
      <c r="C258" s="2">
        <v>323.89999999999998</v>
      </c>
      <c r="D258" s="2">
        <v>5</v>
      </c>
      <c r="E258" s="8">
        <f>Tablo1[[#This Row],[Dış Çap(ømm)]]/$C$140/$D$140*Tablo1[[#This Row],[Et Kalınlığı(mm)]]/2</f>
        <v>3.5422134733158357</v>
      </c>
      <c r="F258" s="8">
        <f>_xlfn.CEILING.MATH(2*Tablo1[[#This Row],[Dış Çap(ømm)]]*3.14*Tablo1[[#This Row],[Et Kalınlığı(mm)]]*3/1000*7.85*1.4/20,1)</f>
        <v>17</v>
      </c>
      <c r="G258" s="8">
        <f>_xlfn.CEILING.MATH(2*Tablo1[[#This Row],[Dış Çap(ømm)]]*3.14*Tablo1[[#This Row],[Et Kalınlığı(mm)]]*3/1000*7.85*1.4/35,1)</f>
        <v>10</v>
      </c>
    </row>
    <row r="259" spans="1:7">
      <c r="A259" s="1" t="s">
        <v>14</v>
      </c>
      <c r="B259" s="2" t="s">
        <v>49</v>
      </c>
      <c r="C259" s="2">
        <v>355.6</v>
      </c>
      <c r="D259" s="2">
        <v>2</v>
      </c>
      <c r="E259" s="8">
        <f>Tablo1[[#This Row],[Dış Çap(ømm)]]/$C$140/$D$140*Tablo1[[#This Row],[Et Kalınlığı(mm)]]/2</f>
        <v>1.5555555555555558</v>
      </c>
      <c r="F259" s="8">
        <f>_xlfn.CEILING.MATH(2*Tablo1[[#This Row],[Dış Çap(ømm)]]*3.14*Tablo1[[#This Row],[Et Kalınlığı(mm)]]*3/1000*7.85*1.4/20,1)</f>
        <v>8</v>
      </c>
      <c r="G259" s="8">
        <f>_xlfn.CEILING.MATH(2*Tablo1[[#This Row],[Dış Çap(ømm)]]*3.14*Tablo1[[#This Row],[Et Kalınlığı(mm)]]*3/1000*7.85*1.4/35,1)</f>
        <v>5</v>
      </c>
    </row>
    <row r="260" spans="1:7">
      <c r="A260" s="1" t="s">
        <v>14</v>
      </c>
      <c r="B260" s="2" t="s">
        <v>49</v>
      </c>
      <c r="C260" s="2">
        <v>355.6</v>
      </c>
      <c r="D260" s="2">
        <v>3</v>
      </c>
      <c r="E260" s="8">
        <f>Tablo1[[#This Row],[Dış Çap(ømm)]]/$C$140/$D$140*Tablo1[[#This Row],[Et Kalınlığı(mm)]]/2</f>
        <v>2.3333333333333339</v>
      </c>
      <c r="F260" s="8">
        <f>_xlfn.CEILING.MATH(2*Tablo1[[#This Row],[Dış Çap(ømm)]]*3.14*Tablo1[[#This Row],[Et Kalınlığı(mm)]]*3/1000*7.85*1.4/20,1)</f>
        <v>12</v>
      </c>
      <c r="G260" s="8">
        <f>_xlfn.CEILING.MATH(2*Tablo1[[#This Row],[Dış Çap(ømm)]]*3.14*Tablo1[[#This Row],[Et Kalınlığı(mm)]]*3/1000*7.85*1.4/35,1)</f>
        <v>7</v>
      </c>
    </row>
    <row r="261" spans="1:7">
      <c r="A261" s="1" t="s">
        <v>14</v>
      </c>
      <c r="B261" s="2" t="s">
        <v>49</v>
      </c>
      <c r="C261" s="2">
        <v>355.6</v>
      </c>
      <c r="D261" s="2">
        <v>4</v>
      </c>
      <c r="E261" s="8">
        <f>Tablo1[[#This Row],[Dış Çap(ømm)]]/$C$140/$D$140*Tablo1[[#This Row],[Et Kalınlığı(mm)]]/2</f>
        <v>3.1111111111111116</v>
      </c>
      <c r="F261" s="8">
        <f>_xlfn.CEILING.MATH(2*Tablo1[[#This Row],[Dış Çap(ømm)]]*3.14*Tablo1[[#This Row],[Et Kalınlığı(mm)]]*3/1000*7.85*1.4/20,1)</f>
        <v>15</v>
      </c>
      <c r="G261" s="8">
        <f>_xlfn.CEILING.MATH(2*Tablo1[[#This Row],[Dış Çap(ømm)]]*3.14*Tablo1[[#This Row],[Et Kalınlığı(mm)]]*3/1000*7.85*1.4/35,1)</f>
        <v>9</v>
      </c>
    </row>
    <row r="262" spans="1:7">
      <c r="A262" s="1" t="s">
        <v>14</v>
      </c>
      <c r="B262" s="2" t="s">
        <v>49</v>
      </c>
      <c r="C262" s="2">
        <v>355.6</v>
      </c>
      <c r="D262" s="2">
        <v>5</v>
      </c>
      <c r="E262" s="8">
        <f>Tablo1[[#This Row],[Dış Çap(ømm)]]/$C$140/$D$140*Tablo1[[#This Row],[Et Kalınlığı(mm)]]/2</f>
        <v>3.8888888888888893</v>
      </c>
      <c r="F262" s="8">
        <f>_xlfn.CEILING.MATH(2*Tablo1[[#This Row],[Dış Çap(ømm)]]*3.14*Tablo1[[#This Row],[Et Kalınlığı(mm)]]*3/1000*7.85*1.4/20,1)</f>
        <v>19</v>
      </c>
      <c r="G262" s="8">
        <f>_xlfn.CEILING.MATH(2*Tablo1[[#This Row],[Dış Çap(ømm)]]*3.14*Tablo1[[#This Row],[Et Kalınlığı(mm)]]*3/1000*7.85*1.4/35,1)</f>
        <v>11</v>
      </c>
    </row>
    <row r="263" spans="1:7">
      <c r="A263" s="1" t="s">
        <v>15</v>
      </c>
      <c r="B263" s="2" t="s">
        <v>49</v>
      </c>
      <c r="C263" s="2">
        <v>406.4</v>
      </c>
      <c r="D263" s="2">
        <v>3</v>
      </c>
      <c r="E263" s="8">
        <f>Tablo1[[#This Row],[Dış Çap(ømm)]]/$C$140/$D$140*Tablo1[[#This Row],[Et Kalınlığı(mm)]]/2</f>
        <v>2.6666666666666665</v>
      </c>
      <c r="F263" s="8">
        <f>_xlfn.CEILING.MATH(2*Tablo1[[#This Row],[Dış Çap(ømm)]]*3.14*Tablo1[[#This Row],[Et Kalınlığı(mm)]]*3/1000*7.85*1.4/20,1)</f>
        <v>13</v>
      </c>
      <c r="G263" s="8">
        <f>_xlfn.CEILING.MATH(2*Tablo1[[#This Row],[Dış Çap(ømm)]]*3.14*Tablo1[[#This Row],[Et Kalınlığı(mm)]]*3/1000*7.85*1.4/35,1)</f>
        <v>8</v>
      </c>
    </row>
    <row r="264" spans="1:7">
      <c r="A264" s="1" t="s">
        <v>15</v>
      </c>
      <c r="B264" s="2" t="s">
        <v>49</v>
      </c>
      <c r="C264" s="2">
        <v>406.4</v>
      </c>
      <c r="D264" s="2">
        <v>4</v>
      </c>
      <c r="E264" s="8">
        <f>Tablo1[[#This Row],[Dış Çap(ømm)]]/$C$140/$D$140*Tablo1[[#This Row],[Et Kalınlığı(mm)]]/2</f>
        <v>3.5555555555555554</v>
      </c>
      <c r="F264" s="8">
        <f>_xlfn.CEILING.MATH(2*Tablo1[[#This Row],[Dış Çap(ømm)]]*3.14*Tablo1[[#This Row],[Et Kalınlığı(mm)]]*3/1000*7.85*1.4/20,1)</f>
        <v>17</v>
      </c>
      <c r="G264" s="8">
        <f>_xlfn.CEILING.MATH(2*Tablo1[[#This Row],[Dış Çap(ømm)]]*3.14*Tablo1[[#This Row],[Et Kalınlığı(mm)]]*3/1000*7.85*1.4/35,1)</f>
        <v>10</v>
      </c>
    </row>
    <row r="265" spans="1:7">
      <c r="A265" s="1" t="s">
        <v>16</v>
      </c>
      <c r="B265" s="2" t="s">
        <v>49</v>
      </c>
      <c r="C265" s="2">
        <v>457.2</v>
      </c>
      <c r="D265" s="2">
        <v>3</v>
      </c>
      <c r="E265" s="8">
        <f>Tablo1[[#This Row],[Dış Çap(ømm)]]/$C$140/$D$140*Tablo1[[#This Row],[Et Kalınlığı(mm)]]/2</f>
        <v>3</v>
      </c>
      <c r="F265" s="8">
        <f>_xlfn.CEILING.MATH(2*Tablo1[[#This Row],[Dış Çap(ømm)]]*3.14*Tablo1[[#This Row],[Et Kalınlığı(mm)]]*3/1000*7.85*1.4/20,1)</f>
        <v>15</v>
      </c>
      <c r="G265" s="8">
        <f>_xlfn.CEILING.MATH(2*Tablo1[[#This Row],[Dış Çap(ømm)]]*3.14*Tablo1[[#This Row],[Et Kalınlığı(mm)]]*3/1000*7.85*1.4/35,1)</f>
        <v>9</v>
      </c>
    </row>
    <row r="266" spans="1:7">
      <c r="A266" s="1" t="s">
        <v>16</v>
      </c>
      <c r="B266" s="2" t="s">
        <v>49</v>
      </c>
      <c r="C266" s="2">
        <v>457.2</v>
      </c>
      <c r="D266" s="2">
        <v>4</v>
      </c>
      <c r="E266" s="8">
        <f>Tablo1[[#This Row],[Dış Çap(ømm)]]/$C$140/$D$140*Tablo1[[#This Row],[Et Kalınlığı(mm)]]/2</f>
        <v>4</v>
      </c>
      <c r="F266" s="8">
        <f>_xlfn.CEILING.MATH(2*Tablo1[[#This Row],[Dış Çap(ømm)]]*3.14*Tablo1[[#This Row],[Et Kalınlığı(mm)]]*3/1000*7.85*1.4/20,1)</f>
        <v>19</v>
      </c>
      <c r="G266" s="8">
        <f>_xlfn.CEILING.MATH(2*Tablo1[[#This Row],[Dış Çap(ømm)]]*3.14*Tablo1[[#This Row],[Et Kalınlığı(mm)]]*3/1000*7.85*1.4/35,1)</f>
        <v>11</v>
      </c>
    </row>
    <row r="267" spans="1:7">
      <c r="A267" s="1" t="s">
        <v>16</v>
      </c>
      <c r="B267" s="2" t="s">
        <v>49</v>
      </c>
      <c r="C267" s="2">
        <v>457.2</v>
      </c>
      <c r="D267" s="2">
        <v>5</v>
      </c>
      <c r="E267" s="8">
        <f>Tablo1[[#This Row],[Dış Çap(ømm)]]/$C$140/$D$140*Tablo1[[#This Row],[Et Kalınlığı(mm)]]/2</f>
        <v>5</v>
      </c>
      <c r="F267" s="8">
        <f>_xlfn.CEILING.MATH(2*Tablo1[[#This Row],[Dış Çap(ømm)]]*3.14*Tablo1[[#This Row],[Et Kalınlığı(mm)]]*3/1000*7.85*1.4/20,1)</f>
        <v>24</v>
      </c>
      <c r="G267" s="8">
        <f>_xlfn.CEILING.MATH(2*Tablo1[[#This Row],[Dış Çap(ømm)]]*3.14*Tablo1[[#This Row],[Et Kalınlığı(mm)]]*3/1000*7.85*1.4/35,1)</f>
        <v>14</v>
      </c>
    </row>
    <row r="268" spans="1:7">
      <c r="A268" s="1" t="s">
        <v>17</v>
      </c>
      <c r="B268" s="2" t="s">
        <v>49</v>
      </c>
      <c r="C268" s="2">
        <v>508</v>
      </c>
      <c r="D268" s="2">
        <v>3</v>
      </c>
      <c r="E268" s="8">
        <f>Tablo1[[#This Row],[Dış Çap(ømm)]]/$C$140/$D$140*Tablo1[[#This Row],[Et Kalınlığı(mm)]]/2</f>
        <v>3.3333333333333335</v>
      </c>
      <c r="F268" s="8">
        <f>_xlfn.CEILING.MATH(2*Tablo1[[#This Row],[Dış Çap(ømm)]]*3.14*Tablo1[[#This Row],[Et Kalınlığı(mm)]]*3/1000*7.85*1.4/20,1)</f>
        <v>16</v>
      </c>
      <c r="G268" s="8">
        <f>_xlfn.CEILING.MATH(2*Tablo1[[#This Row],[Dış Çap(ømm)]]*3.14*Tablo1[[#This Row],[Et Kalınlığı(mm)]]*3/1000*7.85*1.4/35,1)</f>
        <v>10</v>
      </c>
    </row>
    <row r="269" spans="1:7">
      <c r="A269" s="1" t="s">
        <v>17</v>
      </c>
      <c r="B269" s="2" t="s">
        <v>49</v>
      </c>
      <c r="C269" s="2">
        <v>508</v>
      </c>
      <c r="D269" s="2">
        <v>4</v>
      </c>
      <c r="E269" s="8">
        <f>Tablo1[[#This Row],[Dış Çap(ømm)]]/$C$140/$D$140*Tablo1[[#This Row],[Et Kalınlığı(mm)]]/2</f>
        <v>4.4444444444444446</v>
      </c>
      <c r="F269" s="8">
        <f>_xlfn.CEILING.MATH(2*Tablo1[[#This Row],[Dış Çap(ømm)]]*3.14*Tablo1[[#This Row],[Et Kalınlığı(mm)]]*3/1000*7.85*1.4/20,1)</f>
        <v>22</v>
      </c>
      <c r="G269" s="8">
        <f>_xlfn.CEILING.MATH(2*Tablo1[[#This Row],[Dış Çap(ømm)]]*3.14*Tablo1[[#This Row],[Et Kalınlığı(mm)]]*3/1000*7.85*1.4/35,1)</f>
        <v>13</v>
      </c>
    </row>
    <row r="270" spans="1:7">
      <c r="A270" s="1" t="s">
        <v>17</v>
      </c>
      <c r="B270" s="2" t="s">
        <v>49</v>
      </c>
      <c r="C270" s="2">
        <v>508</v>
      </c>
      <c r="D270" s="2">
        <v>5</v>
      </c>
      <c r="E270" s="8">
        <f>Tablo1[[#This Row],[Dış Çap(ømm)]]/$C$140/$D$140*Tablo1[[#This Row],[Et Kalınlığı(mm)]]/2</f>
        <v>5.5555555555555554</v>
      </c>
      <c r="F270" s="8">
        <f>_xlfn.CEILING.MATH(2*Tablo1[[#This Row],[Dış Çap(ømm)]]*3.14*Tablo1[[#This Row],[Et Kalınlığı(mm)]]*3/1000*7.85*1.4/20,1)</f>
        <v>27</v>
      </c>
      <c r="G270" s="8">
        <f>_xlfn.CEILING.MATH(2*Tablo1[[#This Row],[Dış Çap(ømm)]]*3.14*Tablo1[[#This Row],[Et Kalınlığı(mm)]]*3/1000*7.85*1.4/35,1)</f>
        <v>16</v>
      </c>
    </row>
    <row r="271" spans="1:7">
      <c r="A271" s="1" t="s">
        <v>18</v>
      </c>
      <c r="B271" s="2" t="s">
        <v>49</v>
      </c>
      <c r="C271" s="2">
        <v>609.6</v>
      </c>
      <c r="D271" s="2">
        <v>4</v>
      </c>
      <c r="E271" s="8">
        <f>Tablo1[[#This Row],[Dış Çap(ømm)]]/$C$140/$D$140*Tablo1[[#This Row],[Et Kalınlığı(mm)]]/2</f>
        <v>5.3333333333333339</v>
      </c>
      <c r="F271" s="8">
        <f>_xlfn.CEILING.MATH(2*Tablo1[[#This Row],[Dış Çap(ømm)]]*3.14*Tablo1[[#This Row],[Et Kalınlığı(mm)]]*3/1000*7.85*1.4/20,1)</f>
        <v>26</v>
      </c>
      <c r="G271" s="8">
        <f>_xlfn.CEILING.MATH(2*Tablo1[[#This Row],[Dış Çap(ømm)]]*3.14*Tablo1[[#This Row],[Et Kalınlığı(mm)]]*3/1000*7.85*1.4/35,1)</f>
        <v>15</v>
      </c>
    </row>
    <row r="272" spans="1:7">
      <c r="A272" s="1" t="s">
        <v>18</v>
      </c>
      <c r="B272" s="2" t="s">
        <v>49</v>
      </c>
      <c r="C272" s="2">
        <v>609.6</v>
      </c>
      <c r="D272" s="2">
        <v>5</v>
      </c>
      <c r="E272" s="8">
        <f>Tablo1[[#This Row],[Dış Çap(ømm)]]/$C$140/$D$140*Tablo1[[#This Row],[Et Kalınlığı(mm)]]/2</f>
        <v>6.6666666666666679</v>
      </c>
      <c r="F272" s="8">
        <f>_xlfn.CEILING.MATH(2*Tablo1[[#This Row],[Dış Çap(ømm)]]*3.14*Tablo1[[#This Row],[Et Kalınlığı(mm)]]*3/1000*7.85*1.4/20,1)</f>
        <v>32</v>
      </c>
      <c r="G272" s="8">
        <f>_xlfn.CEILING.MATH(2*Tablo1[[#This Row],[Dış Çap(ømm)]]*3.14*Tablo1[[#This Row],[Et Kalınlığı(mm)]]*3/1000*7.85*1.4/35,1)</f>
        <v>19</v>
      </c>
    </row>
    <row r="273" spans="1:7">
      <c r="A273" s="1" t="s">
        <v>19</v>
      </c>
      <c r="B273" s="2" t="s">
        <v>49</v>
      </c>
      <c r="C273" s="2">
        <v>711.2</v>
      </c>
      <c r="D273" s="2">
        <v>6.35</v>
      </c>
      <c r="E273" s="8">
        <f>Tablo1[[#This Row],[Dış Çap(ømm)]]/$C$140/$D$140*Tablo1[[#This Row],[Et Kalınlığı(mm)]]/2</f>
        <v>9.8777777777777782</v>
      </c>
      <c r="F273" s="8">
        <f>_xlfn.CEILING.MATH(2*Tablo1[[#This Row],[Dış Çap(ømm)]]*3.14*Tablo1[[#This Row],[Et Kalınlığı(mm)]]*3/1000*7.85*1.4/20,1)</f>
        <v>47</v>
      </c>
      <c r="G273" s="8">
        <f>_xlfn.CEILING.MATH(2*Tablo1[[#This Row],[Dış Çap(ømm)]]*3.14*Tablo1[[#This Row],[Et Kalınlığı(mm)]]*3/1000*7.85*1.4/35,1)</f>
        <v>27</v>
      </c>
    </row>
    <row r="274" spans="1:7">
      <c r="A274" s="1" t="s">
        <v>19</v>
      </c>
      <c r="B274" s="2" t="s">
        <v>49</v>
      </c>
      <c r="C274" s="2">
        <v>711.2</v>
      </c>
      <c r="D274" s="2">
        <v>7.92</v>
      </c>
      <c r="E274" s="8">
        <f>Tablo1[[#This Row],[Dış Çap(ømm)]]/$C$140/$D$140*Tablo1[[#This Row],[Et Kalınlığı(mm)]]/2</f>
        <v>12.320000000000002</v>
      </c>
      <c r="F274" s="8">
        <f>_xlfn.CEILING.MATH(2*Tablo1[[#This Row],[Dış Çap(ømm)]]*3.14*Tablo1[[#This Row],[Et Kalınlığı(mm)]]*3/1000*7.85*1.4/20,1)</f>
        <v>59</v>
      </c>
      <c r="G274" s="8">
        <f>_xlfn.CEILING.MATH(2*Tablo1[[#This Row],[Dış Çap(ømm)]]*3.14*Tablo1[[#This Row],[Et Kalınlığı(mm)]]*3/1000*7.85*1.4/35,1)</f>
        <v>34</v>
      </c>
    </row>
    <row r="275" spans="1:7">
      <c r="A275" s="1" t="s">
        <v>19</v>
      </c>
      <c r="B275" s="2" t="s">
        <v>49</v>
      </c>
      <c r="C275" s="2">
        <v>711.2</v>
      </c>
      <c r="D275" s="2">
        <v>9.52</v>
      </c>
      <c r="E275" s="8">
        <f>Tablo1[[#This Row],[Dış Çap(ømm)]]/$C$140/$D$140*Tablo1[[#This Row],[Et Kalınlığı(mm)]]/2</f>
        <v>14.808888888888891</v>
      </c>
      <c r="F275" s="8">
        <f>_xlfn.CEILING.MATH(2*Tablo1[[#This Row],[Dış Çap(ømm)]]*3.14*Tablo1[[#This Row],[Et Kalınlığı(mm)]]*3/1000*7.85*1.4/20,1)</f>
        <v>71</v>
      </c>
      <c r="G275" s="8">
        <f>_xlfn.CEILING.MATH(2*Tablo1[[#This Row],[Dış Çap(ømm)]]*3.14*Tablo1[[#This Row],[Et Kalınlığı(mm)]]*3/1000*7.85*1.4/35,1)</f>
        <v>41</v>
      </c>
    </row>
    <row r="276" spans="1:7">
      <c r="A276" s="1" t="s">
        <v>19</v>
      </c>
      <c r="B276" s="2" t="s">
        <v>49</v>
      </c>
      <c r="C276" s="2">
        <v>711.2</v>
      </c>
      <c r="D276" s="2">
        <v>12.7</v>
      </c>
      <c r="E276" s="8">
        <f>Tablo1[[#This Row],[Dış Çap(ømm)]]/$C$140/$D$140*Tablo1[[#This Row],[Et Kalınlığı(mm)]]/2</f>
        <v>19.755555555555556</v>
      </c>
      <c r="F276" s="8">
        <f>_xlfn.CEILING.MATH(2*Tablo1[[#This Row],[Dış Çap(ømm)]]*3.14*Tablo1[[#This Row],[Et Kalınlığı(mm)]]*3/1000*7.85*1.4/20,1)</f>
        <v>94</v>
      </c>
      <c r="G276" s="8">
        <f>_xlfn.CEILING.MATH(2*Tablo1[[#This Row],[Dış Çap(ømm)]]*3.14*Tablo1[[#This Row],[Et Kalınlığı(mm)]]*3/1000*7.85*1.4/35,1)</f>
        <v>54</v>
      </c>
    </row>
    <row r="277" spans="1:7">
      <c r="A277" s="1" t="s">
        <v>20</v>
      </c>
      <c r="B277" s="2" t="s">
        <v>49</v>
      </c>
      <c r="C277" s="2">
        <v>812.8</v>
      </c>
      <c r="D277" s="2">
        <v>9.52</v>
      </c>
      <c r="E277" s="8">
        <f>Tablo1[[#This Row],[Dış Çap(ømm)]]/$C$140/$D$140*Tablo1[[#This Row],[Et Kalınlığı(mm)]]/2</f>
        <v>16.924444444444443</v>
      </c>
      <c r="F277" s="8">
        <f>_xlfn.CEILING.MATH(2*Tablo1[[#This Row],[Dış Çap(ømm)]]*3.14*Tablo1[[#This Row],[Et Kalınlığı(mm)]]*3/1000*7.85*1.4/20,1)</f>
        <v>81</v>
      </c>
      <c r="G277" s="8">
        <f>_xlfn.CEILING.MATH(2*Tablo1[[#This Row],[Dış Çap(ømm)]]*3.14*Tablo1[[#This Row],[Et Kalınlığı(mm)]]*3/1000*7.85*1.4/35,1)</f>
        <v>46</v>
      </c>
    </row>
    <row r="278" spans="1:7">
      <c r="A278" s="1" t="s">
        <v>20</v>
      </c>
      <c r="B278" s="2" t="s">
        <v>49</v>
      </c>
      <c r="C278" s="2">
        <v>812.8</v>
      </c>
      <c r="D278" s="2">
        <v>12.7</v>
      </c>
      <c r="E278" s="8">
        <f>Tablo1[[#This Row],[Dış Çap(ømm)]]/$C$140/$D$140*Tablo1[[#This Row],[Et Kalınlığı(mm)]]/2</f>
        <v>22.577777777777776</v>
      </c>
      <c r="F278" s="8">
        <f>_xlfn.CEILING.MATH(2*Tablo1[[#This Row],[Dış Çap(ømm)]]*3.14*Tablo1[[#This Row],[Et Kalınlığı(mm)]]*3/1000*7.85*1.4/20,1)</f>
        <v>107</v>
      </c>
      <c r="G278" s="8">
        <f>_xlfn.CEILING.MATH(2*Tablo1[[#This Row],[Dış Çap(ømm)]]*3.14*Tablo1[[#This Row],[Et Kalınlığı(mm)]]*3/1000*7.85*1.4/35,1)</f>
        <v>62</v>
      </c>
    </row>
    <row r="279" spans="1:7">
      <c r="A279" s="1" t="s">
        <v>21</v>
      </c>
      <c r="B279" s="2" t="s">
        <v>49</v>
      </c>
      <c r="C279" s="2">
        <v>914.4</v>
      </c>
      <c r="D279" s="2">
        <v>9.52</v>
      </c>
      <c r="E279" s="8">
        <f>Tablo1[[#This Row],[Dış Çap(ømm)]]/$C$140/$D$140*Tablo1[[#This Row],[Et Kalınlığı(mm)]]/2</f>
        <v>19.04</v>
      </c>
      <c r="F279" s="8">
        <f>_xlfn.CEILING.MATH(2*Tablo1[[#This Row],[Dış Çap(ømm)]]*3.14*Tablo1[[#This Row],[Et Kalınlığı(mm)]]*3/1000*7.85*1.4/20,1)</f>
        <v>91</v>
      </c>
      <c r="G279" s="8">
        <f>_xlfn.CEILING.MATH(2*Tablo1[[#This Row],[Dış Çap(ømm)]]*3.14*Tablo1[[#This Row],[Et Kalınlığı(mm)]]*3/1000*7.85*1.4/35,1)</f>
        <v>52</v>
      </c>
    </row>
    <row r="280" spans="1:7">
      <c r="A280" s="1" t="s">
        <v>21</v>
      </c>
      <c r="B280" s="2" t="s">
        <v>49</v>
      </c>
      <c r="C280" s="2">
        <v>914.4</v>
      </c>
      <c r="D280" s="2">
        <v>12.7</v>
      </c>
      <c r="E280" s="8">
        <f>Tablo1[[#This Row],[Dış Çap(ømm)]]/$C$140/$D$140*Tablo1[[#This Row],[Et Kalınlığı(mm)]]/2</f>
        <v>25.4</v>
      </c>
      <c r="F280" s="8">
        <f>_xlfn.CEILING.MATH(2*Tablo1[[#This Row],[Dış Çap(ømm)]]*3.14*Tablo1[[#This Row],[Et Kalınlığı(mm)]]*3/1000*7.85*1.4/20,1)</f>
        <v>121</v>
      </c>
      <c r="G280" s="8">
        <f>_xlfn.CEILING.MATH(2*Tablo1[[#This Row],[Dış Çap(ømm)]]*3.14*Tablo1[[#This Row],[Et Kalınlığı(mm)]]*3/1000*7.85*1.4/35,1)</f>
        <v>69</v>
      </c>
    </row>
    <row r="281" spans="1:7">
      <c r="A281" s="1" t="s">
        <v>22</v>
      </c>
      <c r="B281" s="2" t="s">
        <v>49</v>
      </c>
      <c r="C281" s="2">
        <v>1016</v>
      </c>
      <c r="D281" s="2">
        <v>12.7</v>
      </c>
      <c r="E281" s="8">
        <f>Tablo1[[#This Row],[Dış Çap(ømm)]]/$C$140/$D$140*Tablo1[[#This Row],[Et Kalınlığı(mm)]]/2</f>
        <v>28.222222222222221</v>
      </c>
      <c r="F281" s="8">
        <f>_xlfn.CEILING.MATH(2*Tablo1[[#This Row],[Dış Çap(ømm)]]*3.14*Tablo1[[#This Row],[Et Kalınlığı(mm)]]*3/1000*7.85*1.4/20,1)</f>
        <v>134</v>
      </c>
      <c r="G281" s="8">
        <f>_xlfn.CEILING.MATH(2*Tablo1[[#This Row],[Dış Çap(ømm)]]*3.14*Tablo1[[#This Row],[Et Kalınlığı(mm)]]*3/1000*7.85*1.4/35,1)</f>
        <v>77</v>
      </c>
    </row>
  </sheetData>
  <phoneticPr fontId="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0D23-ECE7-4460-BDFD-6422CCCB781C}">
  <sheetPr codeName="Sayfa4"/>
  <dimension ref="A1:N136"/>
  <sheetViews>
    <sheetView topLeftCell="A50" workbookViewId="0">
      <selection activeCell="G79" sqref="G79"/>
    </sheetView>
  </sheetViews>
  <sheetFormatPr defaultRowHeight="14.4"/>
  <cols>
    <col min="1" max="2" width="9" customWidth="1"/>
    <col min="3" max="3" width="16.109375" bestFit="1" customWidth="1"/>
    <col min="5" max="5" width="10.88671875" bestFit="1" customWidth="1"/>
    <col min="6" max="6" width="10.21875" bestFit="1" customWidth="1"/>
    <col min="7" max="7" width="11.6640625" bestFit="1" customWidth="1"/>
    <col min="8" max="8" width="15.33203125" bestFit="1" customWidth="1"/>
  </cols>
  <sheetData>
    <row r="1" spans="1:7" ht="26.4">
      <c r="A1" s="3" t="s">
        <v>24</v>
      </c>
      <c r="B1" s="3" t="s">
        <v>25</v>
      </c>
      <c r="C1" s="5" t="s">
        <v>27</v>
      </c>
      <c r="D1" s="4" t="s">
        <v>35</v>
      </c>
      <c r="E1" s="4" t="s">
        <v>40</v>
      </c>
      <c r="F1" s="4" t="s">
        <v>34</v>
      </c>
      <c r="G1" s="13" t="s">
        <v>57</v>
      </c>
    </row>
    <row r="2" spans="1:7">
      <c r="A2" s="14" t="s">
        <v>0</v>
      </c>
      <c r="B2" s="14" t="s">
        <v>50</v>
      </c>
      <c r="C2" s="14" t="s">
        <v>28</v>
      </c>
      <c r="D2" s="14">
        <v>0.4</v>
      </c>
      <c r="E2" s="14" t="s">
        <v>36</v>
      </c>
      <c r="F2" s="14">
        <v>4</v>
      </c>
      <c r="G2" s="14">
        <v>12</v>
      </c>
    </row>
    <row r="3" spans="1:7" ht="15" thickBot="1">
      <c r="A3" s="14" t="s">
        <v>0</v>
      </c>
      <c r="B3" s="14" t="s">
        <v>50</v>
      </c>
      <c r="C3" s="14" t="s">
        <v>29</v>
      </c>
      <c r="D3" s="14">
        <v>0.59</v>
      </c>
      <c r="E3" s="14" t="s">
        <v>37</v>
      </c>
      <c r="F3" s="14">
        <v>4</v>
      </c>
      <c r="G3" s="14">
        <v>14</v>
      </c>
    </row>
    <row r="4" spans="1:7">
      <c r="A4" s="14" t="s">
        <v>0</v>
      </c>
      <c r="B4" s="14" t="s">
        <v>50</v>
      </c>
      <c r="C4" s="14" t="s">
        <v>30</v>
      </c>
      <c r="D4" s="6">
        <v>0.67</v>
      </c>
      <c r="E4" s="14" t="s">
        <v>37</v>
      </c>
      <c r="F4" s="3">
        <v>4</v>
      </c>
      <c r="G4" s="3">
        <v>14</v>
      </c>
    </row>
    <row r="5" spans="1:7">
      <c r="A5" s="14" t="s">
        <v>1</v>
      </c>
      <c r="B5" s="14" t="s">
        <v>50</v>
      </c>
      <c r="C5" s="14" t="s">
        <v>28</v>
      </c>
      <c r="D5" s="14">
        <v>0.59</v>
      </c>
      <c r="E5" s="14" t="s">
        <v>36</v>
      </c>
      <c r="F5" s="14">
        <v>4</v>
      </c>
      <c r="G5" s="14">
        <v>14</v>
      </c>
    </row>
    <row r="6" spans="1:7">
      <c r="A6" s="14" t="s">
        <v>1</v>
      </c>
      <c r="B6" s="14" t="s">
        <v>50</v>
      </c>
      <c r="C6" s="14" t="s">
        <v>29</v>
      </c>
      <c r="D6" s="14">
        <v>1.05</v>
      </c>
      <c r="E6" s="14" t="s">
        <v>37</v>
      </c>
      <c r="F6" s="14">
        <v>4</v>
      </c>
      <c r="G6" s="14">
        <v>16</v>
      </c>
    </row>
    <row r="7" spans="1:7">
      <c r="A7" s="14" t="s">
        <v>1</v>
      </c>
      <c r="B7" s="14" t="s">
        <v>50</v>
      </c>
      <c r="C7" s="14" t="s">
        <v>30</v>
      </c>
      <c r="D7" s="14">
        <v>0.94</v>
      </c>
      <c r="E7" s="14" t="s">
        <v>37</v>
      </c>
      <c r="F7" s="14">
        <v>4</v>
      </c>
      <c r="G7" s="14">
        <v>16</v>
      </c>
    </row>
    <row r="8" spans="1:7">
      <c r="A8" s="14" t="s">
        <v>2</v>
      </c>
      <c r="B8" s="14" t="s">
        <v>50</v>
      </c>
      <c r="C8" s="14" t="s">
        <v>28</v>
      </c>
      <c r="D8" s="14">
        <v>0.72</v>
      </c>
      <c r="E8" s="14" t="s">
        <v>36</v>
      </c>
      <c r="F8" s="14">
        <v>4</v>
      </c>
      <c r="G8" s="14">
        <v>14</v>
      </c>
    </row>
    <row r="9" spans="1:7">
      <c r="A9" s="14" t="s">
        <v>2</v>
      </c>
      <c r="B9" s="14" t="s">
        <v>50</v>
      </c>
      <c r="C9" s="14" t="s">
        <v>29</v>
      </c>
      <c r="D9" s="14">
        <v>1.25</v>
      </c>
      <c r="E9" s="14" t="s">
        <v>37</v>
      </c>
      <c r="F9" s="14">
        <v>4</v>
      </c>
      <c r="G9" s="14">
        <v>16</v>
      </c>
    </row>
    <row r="10" spans="1:7">
      <c r="A10" s="14" t="s">
        <v>2</v>
      </c>
      <c r="B10" s="14" t="s">
        <v>50</v>
      </c>
      <c r="C10" s="14" t="s">
        <v>30</v>
      </c>
      <c r="D10" s="14">
        <v>1.1100000000000001</v>
      </c>
      <c r="E10" s="14" t="s">
        <v>37</v>
      </c>
      <c r="F10" s="14">
        <v>4</v>
      </c>
      <c r="G10" s="14">
        <v>16</v>
      </c>
    </row>
    <row r="11" spans="1:7">
      <c r="A11" s="14" t="s">
        <v>3</v>
      </c>
      <c r="B11" s="14" t="s">
        <v>50</v>
      </c>
      <c r="C11" s="14" t="s">
        <v>28</v>
      </c>
      <c r="D11" s="14">
        <v>1.05</v>
      </c>
      <c r="E11" s="14" t="s">
        <v>37</v>
      </c>
      <c r="F11" s="14">
        <v>4</v>
      </c>
      <c r="G11" s="14">
        <v>16</v>
      </c>
    </row>
    <row r="12" spans="1:7">
      <c r="A12" s="14" t="s">
        <v>3</v>
      </c>
      <c r="B12" s="14" t="s">
        <v>50</v>
      </c>
      <c r="C12" s="14" t="s">
        <v>29</v>
      </c>
      <c r="D12" s="14">
        <v>1.83</v>
      </c>
      <c r="E12" s="14" t="s">
        <v>38</v>
      </c>
      <c r="F12" s="14">
        <v>4</v>
      </c>
      <c r="G12" s="14">
        <v>18</v>
      </c>
    </row>
    <row r="13" spans="1:7">
      <c r="A13" s="14" t="s">
        <v>3</v>
      </c>
      <c r="B13" s="14" t="s">
        <v>50</v>
      </c>
      <c r="C13" s="14" t="s">
        <v>30</v>
      </c>
      <c r="D13" s="14">
        <v>1.7</v>
      </c>
      <c r="E13" s="14" t="s">
        <v>38</v>
      </c>
      <c r="F13" s="14">
        <v>4</v>
      </c>
      <c r="G13" s="14">
        <v>18</v>
      </c>
    </row>
    <row r="14" spans="1:7">
      <c r="A14" s="14" t="s">
        <v>4</v>
      </c>
      <c r="B14" s="14" t="s">
        <v>50</v>
      </c>
      <c r="C14" s="14" t="s">
        <v>28</v>
      </c>
      <c r="D14" s="14">
        <v>1.18</v>
      </c>
      <c r="E14" s="14" t="s">
        <v>37</v>
      </c>
      <c r="F14" s="14">
        <v>4</v>
      </c>
      <c r="G14" s="14">
        <v>16</v>
      </c>
    </row>
    <row r="15" spans="1:7">
      <c r="A15" s="14" t="s">
        <v>4</v>
      </c>
      <c r="B15" s="14" t="s">
        <v>50</v>
      </c>
      <c r="C15" s="14" t="s">
        <v>29</v>
      </c>
      <c r="D15" s="14">
        <v>2.0699999999999998</v>
      </c>
      <c r="E15" s="14" t="s">
        <v>38</v>
      </c>
      <c r="F15" s="14">
        <v>4</v>
      </c>
      <c r="G15" s="14">
        <v>18</v>
      </c>
    </row>
    <row r="16" spans="1:7">
      <c r="A16" s="14" t="s">
        <v>4</v>
      </c>
      <c r="B16" s="14" t="s">
        <v>50</v>
      </c>
      <c r="C16" s="14" t="s">
        <v>30</v>
      </c>
      <c r="D16" s="14">
        <v>1.85</v>
      </c>
      <c r="E16" s="14" t="s">
        <v>38</v>
      </c>
      <c r="F16" s="14">
        <v>4</v>
      </c>
      <c r="G16" s="14">
        <v>18</v>
      </c>
    </row>
    <row r="17" spans="1:7">
      <c r="A17" s="14" t="s">
        <v>5</v>
      </c>
      <c r="B17" s="14" t="s">
        <v>50</v>
      </c>
      <c r="C17" s="14" t="s">
        <v>28</v>
      </c>
      <c r="D17" s="14">
        <v>1.3</v>
      </c>
      <c r="E17" s="14" t="s">
        <v>37</v>
      </c>
      <c r="F17" s="14">
        <v>4</v>
      </c>
      <c r="G17" s="14">
        <v>16</v>
      </c>
    </row>
    <row r="18" spans="1:7">
      <c r="A18" s="14" t="s">
        <v>5</v>
      </c>
      <c r="B18" s="14" t="s">
        <v>50</v>
      </c>
      <c r="C18" s="14" t="s">
        <v>29</v>
      </c>
      <c r="D18" s="14">
        <v>2.71</v>
      </c>
      <c r="E18" s="14" t="s">
        <v>38</v>
      </c>
      <c r="F18" s="14">
        <v>4</v>
      </c>
      <c r="G18" s="14">
        <v>20</v>
      </c>
    </row>
    <row r="19" spans="1:7">
      <c r="A19" s="14" t="s">
        <v>5</v>
      </c>
      <c r="B19" s="14" t="s">
        <v>50</v>
      </c>
      <c r="C19" s="14" t="s">
        <v>30</v>
      </c>
      <c r="D19" s="14">
        <v>2.5</v>
      </c>
      <c r="E19" s="14" t="s">
        <v>38</v>
      </c>
      <c r="F19" s="14">
        <v>4</v>
      </c>
      <c r="G19" s="14">
        <v>20</v>
      </c>
    </row>
    <row r="20" spans="1:7">
      <c r="A20" s="14" t="s">
        <v>6</v>
      </c>
      <c r="B20" s="14" t="s">
        <v>50</v>
      </c>
      <c r="C20" s="14" t="s">
        <v>28</v>
      </c>
      <c r="D20" s="14">
        <v>1.63</v>
      </c>
      <c r="E20" s="14" t="s">
        <v>37</v>
      </c>
      <c r="F20" s="14">
        <v>4</v>
      </c>
      <c r="G20" s="14">
        <v>16</v>
      </c>
    </row>
    <row r="21" spans="1:7">
      <c r="A21" s="14" t="s">
        <v>6</v>
      </c>
      <c r="B21" s="14" t="s">
        <v>50</v>
      </c>
      <c r="C21" s="14" t="s">
        <v>29</v>
      </c>
      <c r="D21" s="14">
        <v>3.46</v>
      </c>
      <c r="E21" s="14" t="s">
        <v>38</v>
      </c>
      <c r="F21" s="14">
        <v>8</v>
      </c>
      <c r="G21" s="14">
        <v>22</v>
      </c>
    </row>
    <row r="22" spans="1:7">
      <c r="A22" s="14" t="s">
        <v>6</v>
      </c>
      <c r="B22" s="14" t="s">
        <v>50</v>
      </c>
      <c r="C22" s="14" t="s">
        <v>30</v>
      </c>
      <c r="D22" s="14">
        <v>3</v>
      </c>
      <c r="E22" s="14" t="s">
        <v>38</v>
      </c>
      <c r="F22" s="14">
        <v>4</v>
      </c>
      <c r="G22" s="14">
        <v>20</v>
      </c>
    </row>
    <row r="23" spans="1:7">
      <c r="A23" s="14" t="s">
        <v>7</v>
      </c>
      <c r="B23" s="14" t="s">
        <v>50</v>
      </c>
      <c r="C23" s="14" t="s">
        <v>28</v>
      </c>
      <c r="D23" s="14">
        <v>2.62</v>
      </c>
      <c r="E23" s="14" t="s">
        <v>38</v>
      </c>
      <c r="F23" s="14">
        <v>4</v>
      </c>
      <c r="G23" s="14">
        <v>18</v>
      </c>
    </row>
    <row r="24" spans="1:7">
      <c r="A24" s="14" t="s">
        <v>7</v>
      </c>
      <c r="B24" s="14" t="s">
        <v>50</v>
      </c>
      <c r="C24" s="14" t="s">
        <v>29</v>
      </c>
      <c r="D24" s="14">
        <v>4.33</v>
      </c>
      <c r="E24" s="14" t="s">
        <v>38</v>
      </c>
      <c r="F24" s="14">
        <v>8</v>
      </c>
      <c r="G24" s="14">
        <v>24</v>
      </c>
    </row>
    <row r="25" spans="1:7">
      <c r="A25" s="14" t="s">
        <v>7</v>
      </c>
      <c r="B25" s="14" t="s">
        <v>50</v>
      </c>
      <c r="C25" s="14" t="s">
        <v>30</v>
      </c>
      <c r="D25" s="14">
        <v>3.79</v>
      </c>
      <c r="E25" s="14" t="s">
        <v>38</v>
      </c>
      <c r="F25" s="14">
        <v>8</v>
      </c>
      <c r="G25" s="14">
        <v>20</v>
      </c>
    </row>
    <row r="26" spans="1:7">
      <c r="A26" s="14" t="s">
        <v>8</v>
      </c>
      <c r="B26" s="14" t="s">
        <v>50</v>
      </c>
      <c r="C26" s="14" t="s">
        <v>28</v>
      </c>
      <c r="D26" s="14">
        <v>2.89</v>
      </c>
      <c r="E26" s="14" t="s">
        <v>38</v>
      </c>
      <c r="F26" s="14">
        <v>4</v>
      </c>
      <c r="G26" s="14">
        <v>18</v>
      </c>
    </row>
    <row r="27" spans="1:7">
      <c r="A27" s="14" t="s">
        <v>8</v>
      </c>
      <c r="B27" s="14" t="s">
        <v>50</v>
      </c>
      <c r="C27" s="14" t="s">
        <v>29</v>
      </c>
      <c r="D27" s="14">
        <v>5.6</v>
      </c>
      <c r="E27" s="14" t="s">
        <v>38</v>
      </c>
      <c r="F27" s="14">
        <v>8</v>
      </c>
      <c r="G27" s="14">
        <v>26</v>
      </c>
    </row>
    <row r="28" spans="1:7">
      <c r="A28" s="14" t="s">
        <v>8</v>
      </c>
      <c r="B28" s="14" t="s">
        <v>50</v>
      </c>
      <c r="C28" s="14" t="s">
        <v>30</v>
      </c>
      <c r="D28" s="14">
        <v>4.03</v>
      </c>
      <c r="E28" s="14" t="s">
        <v>38</v>
      </c>
      <c r="F28" s="14">
        <v>8</v>
      </c>
      <c r="G28" s="14">
        <v>22</v>
      </c>
    </row>
    <row r="29" spans="1:7">
      <c r="A29" s="14" t="s">
        <v>9</v>
      </c>
      <c r="B29" s="14" t="s">
        <v>50</v>
      </c>
      <c r="C29" s="14" t="s">
        <v>28</v>
      </c>
      <c r="D29" s="14">
        <v>3.88</v>
      </c>
      <c r="E29" s="14" t="s">
        <v>38</v>
      </c>
      <c r="F29" s="14">
        <v>8</v>
      </c>
      <c r="G29" s="14">
        <v>20</v>
      </c>
    </row>
    <row r="30" spans="1:7">
      <c r="A30" s="14" t="s">
        <v>9</v>
      </c>
      <c r="B30" s="14" t="s">
        <v>50</v>
      </c>
      <c r="C30" s="14" t="s">
        <v>29</v>
      </c>
      <c r="D30" s="14">
        <v>7.63</v>
      </c>
      <c r="E30" s="14" t="s">
        <v>38</v>
      </c>
      <c r="F30" s="14">
        <v>8</v>
      </c>
      <c r="G30" s="14">
        <v>28</v>
      </c>
    </row>
    <row r="31" spans="1:7">
      <c r="A31" s="14" t="s">
        <v>9</v>
      </c>
      <c r="B31" s="14" t="s">
        <v>50</v>
      </c>
      <c r="C31" s="14" t="s">
        <v>30</v>
      </c>
      <c r="D31" s="14">
        <v>5.46</v>
      </c>
      <c r="E31" s="14" t="s">
        <v>38</v>
      </c>
      <c r="F31" s="14">
        <v>8</v>
      </c>
      <c r="G31" s="14">
        <v>22</v>
      </c>
    </row>
    <row r="32" spans="1:7">
      <c r="A32" s="14" t="s">
        <v>10</v>
      </c>
      <c r="B32" s="14" t="s">
        <v>50</v>
      </c>
      <c r="C32" s="14" t="s">
        <v>28</v>
      </c>
      <c r="D32" s="14">
        <v>4.28</v>
      </c>
      <c r="E32" s="14" t="s">
        <v>38</v>
      </c>
      <c r="F32" s="14">
        <v>8</v>
      </c>
      <c r="G32" s="14">
        <v>20</v>
      </c>
    </row>
    <row r="33" spans="1:8">
      <c r="A33" s="14" t="s">
        <v>10</v>
      </c>
      <c r="B33" s="14" t="s">
        <v>50</v>
      </c>
      <c r="C33" s="14" t="s">
        <v>29</v>
      </c>
      <c r="D33" s="14">
        <v>9.61</v>
      </c>
      <c r="E33" s="14" t="s">
        <v>39</v>
      </c>
      <c r="F33" s="14">
        <v>8</v>
      </c>
      <c r="G33" s="14">
        <v>30</v>
      </c>
    </row>
    <row r="34" spans="1:8">
      <c r="A34" s="14" t="s">
        <v>10</v>
      </c>
      <c r="B34" s="14" t="s">
        <v>50</v>
      </c>
      <c r="C34" s="14" t="s">
        <v>30</v>
      </c>
      <c r="D34" s="14">
        <v>6.57</v>
      </c>
      <c r="E34" s="14" t="s">
        <v>39</v>
      </c>
      <c r="F34" s="14">
        <v>8</v>
      </c>
      <c r="G34" s="14">
        <v>24</v>
      </c>
    </row>
    <row r="35" spans="1:8">
      <c r="A35" s="14" t="s">
        <v>11</v>
      </c>
      <c r="B35" s="14" t="s">
        <v>50</v>
      </c>
      <c r="C35" s="14" t="s">
        <v>28</v>
      </c>
      <c r="D35" s="14">
        <v>6.27</v>
      </c>
      <c r="E35" s="14" t="s">
        <v>38</v>
      </c>
      <c r="F35" s="14">
        <v>8</v>
      </c>
      <c r="G35" s="14">
        <v>22</v>
      </c>
    </row>
    <row r="36" spans="1:8">
      <c r="A36" s="14" t="s">
        <v>11</v>
      </c>
      <c r="B36" s="14" t="s">
        <v>50</v>
      </c>
      <c r="C36" s="14" t="s">
        <v>29</v>
      </c>
      <c r="D36" s="14">
        <v>13.35</v>
      </c>
      <c r="E36" s="14" t="s">
        <v>41</v>
      </c>
      <c r="F36" s="14">
        <v>12</v>
      </c>
      <c r="G36" s="14">
        <v>32</v>
      </c>
    </row>
    <row r="37" spans="1:8">
      <c r="A37" s="14" t="s">
        <v>11</v>
      </c>
      <c r="B37" s="14" t="s">
        <v>50</v>
      </c>
      <c r="C37" s="14" t="s">
        <v>30</v>
      </c>
      <c r="D37" s="14">
        <v>9</v>
      </c>
      <c r="E37" s="14" t="s">
        <v>41</v>
      </c>
      <c r="F37" s="14">
        <v>12</v>
      </c>
      <c r="G37" s="14">
        <v>26</v>
      </c>
    </row>
    <row r="38" spans="1:8">
      <c r="A38" s="14" t="s">
        <v>12</v>
      </c>
      <c r="B38" s="14" t="s">
        <v>50</v>
      </c>
      <c r="C38" s="14" t="s">
        <v>28</v>
      </c>
      <c r="D38" s="14">
        <v>8.2200000000000006</v>
      </c>
      <c r="E38" s="14" t="s">
        <v>38</v>
      </c>
      <c r="F38" s="14">
        <v>12</v>
      </c>
      <c r="G38" s="14">
        <v>24</v>
      </c>
    </row>
    <row r="39" spans="1:8">
      <c r="A39" s="14" t="s">
        <v>12</v>
      </c>
      <c r="B39" s="14" t="s">
        <v>50</v>
      </c>
      <c r="C39" s="14" t="s">
        <v>29</v>
      </c>
      <c r="D39" s="14">
        <v>18.25</v>
      </c>
      <c r="E39" s="14" t="s">
        <v>42</v>
      </c>
      <c r="F39" s="14">
        <v>12</v>
      </c>
      <c r="G39" s="14">
        <v>35</v>
      </c>
    </row>
    <row r="40" spans="1:8">
      <c r="A40" s="14" t="s">
        <v>12</v>
      </c>
      <c r="B40" s="14" t="s">
        <v>50</v>
      </c>
      <c r="C40" s="14" t="s">
        <v>30</v>
      </c>
      <c r="D40" s="14">
        <v>13.3</v>
      </c>
      <c r="E40" s="14" t="s">
        <v>41</v>
      </c>
      <c r="F40" s="14">
        <v>12</v>
      </c>
      <c r="G40" s="14">
        <v>29</v>
      </c>
    </row>
    <row r="41" spans="1:8">
      <c r="A41" s="14" t="s">
        <v>13</v>
      </c>
      <c r="B41" s="14" t="s">
        <v>50</v>
      </c>
      <c r="C41" s="14" t="s">
        <v>28</v>
      </c>
      <c r="D41" s="14">
        <v>10.92</v>
      </c>
      <c r="E41" s="14" t="s">
        <v>39</v>
      </c>
      <c r="F41" s="14">
        <v>12</v>
      </c>
      <c r="G41" s="14">
        <v>24</v>
      </c>
    </row>
    <row r="42" spans="1:8">
      <c r="A42" s="14" t="s">
        <v>13</v>
      </c>
      <c r="B42" s="14" t="s">
        <v>50</v>
      </c>
      <c r="C42" s="14" t="s">
        <v>29</v>
      </c>
      <c r="D42" s="14">
        <v>23.86</v>
      </c>
      <c r="E42" s="14" t="s">
        <v>42</v>
      </c>
      <c r="F42" s="14">
        <v>16</v>
      </c>
      <c r="G42" s="14">
        <v>38</v>
      </c>
    </row>
    <row r="43" spans="1:8">
      <c r="A43" s="14" t="s">
        <v>13</v>
      </c>
      <c r="B43" s="14" t="s">
        <v>50</v>
      </c>
      <c r="C43" s="14" t="s">
        <v>30</v>
      </c>
      <c r="D43" s="14">
        <v>17.5</v>
      </c>
      <c r="E43" s="14" t="s">
        <v>41</v>
      </c>
      <c r="F43" s="14">
        <v>12</v>
      </c>
      <c r="G43" s="14">
        <v>32</v>
      </c>
    </row>
    <row r="44" spans="1:8">
      <c r="A44" s="14" t="s">
        <v>14</v>
      </c>
      <c r="B44" s="14" t="s">
        <v>50</v>
      </c>
      <c r="C44" s="14" t="s">
        <v>28</v>
      </c>
      <c r="D44" s="14">
        <v>14.24</v>
      </c>
      <c r="E44" s="14" t="s">
        <v>39</v>
      </c>
      <c r="F44" s="14">
        <v>12</v>
      </c>
      <c r="G44" s="14">
        <v>26</v>
      </c>
    </row>
    <row r="45" spans="1:8">
      <c r="A45" s="14" t="s">
        <v>14</v>
      </c>
      <c r="B45" s="14" t="s">
        <v>50</v>
      </c>
      <c r="C45" s="14" t="s">
        <v>29</v>
      </c>
      <c r="D45" s="14">
        <v>37.53</v>
      </c>
      <c r="E45" s="14" t="s">
        <v>43</v>
      </c>
      <c r="F45" s="14">
        <v>16</v>
      </c>
      <c r="G45" s="14">
        <v>42</v>
      </c>
    </row>
    <row r="46" spans="1:8">
      <c r="A46" s="14" t="s">
        <v>14</v>
      </c>
      <c r="B46" s="14" t="s">
        <v>50</v>
      </c>
      <c r="C46" s="14" t="s">
        <v>30</v>
      </c>
      <c r="D46" s="14">
        <v>26.4</v>
      </c>
      <c r="E46" s="14" t="s">
        <v>42</v>
      </c>
      <c r="F46" s="14">
        <v>16</v>
      </c>
      <c r="G46" s="14">
        <v>35</v>
      </c>
    </row>
    <row r="47" spans="1:8">
      <c r="A47" s="14" t="s">
        <v>15</v>
      </c>
      <c r="B47" s="14" t="s">
        <v>50</v>
      </c>
      <c r="C47" s="14" t="s">
        <v>28</v>
      </c>
      <c r="D47" s="14">
        <v>15.58</v>
      </c>
      <c r="E47" s="14" t="s">
        <v>39</v>
      </c>
      <c r="F47" s="14">
        <v>16</v>
      </c>
      <c r="G47" s="14">
        <v>28</v>
      </c>
    </row>
    <row r="48" spans="1:8">
      <c r="A48" s="14" t="s">
        <v>15</v>
      </c>
      <c r="B48" s="14" t="s">
        <v>50</v>
      </c>
      <c r="C48" s="14" t="s">
        <v>29</v>
      </c>
      <c r="D48" s="14">
        <v>48</v>
      </c>
      <c r="E48" s="14" t="s">
        <v>44</v>
      </c>
      <c r="F48" s="14">
        <v>16</v>
      </c>
      <c r="G48" s="14">
        <v>46</v>
      </c>
      <c r="H48" s="7"/>
    </row>
    <row r="49" spans="1:7">
      <c r="A49" s="14" t="s">
        <v>15</v>
      </c>
      <c r="B49" s="14" t="s">
        <v>50</v>
      </c>
      <c r="C49" s="14" t="s">
        <v>30</v>
      </c>
      <c r="D49" s="14">
        <v>33.9</v>
      </c>
      <c r="E49" s="14" t="s">
        <v>42</v>
      </c>
      <c r="F49" s="14">
        <v>16</v>
      </c>
      <c r="G49" s="14">
        <v>38</v>
      </c>
    </row>
    <row r="50" spans="1:7">
      <c r="A50" s="14" t="s">
        <v>16</v>
      </c>
      <c r="B50" s="14" t="s">
        <v>50</v>
      </c>
      <c r="C50" s="14" t="s">
        <v>28</v>
      </c>
      <c r="D50" s="14">
        <v>19.649999999999999</v>
      </c>
      <c r="E50" s="14" t="s">
        <v>39</v>
      </c>
      <c r="F50" s="14">
        <v>16</v>
      </c>
      <c r="G50" s="14">
        <v>30</v>
      </c>
    </row>
    <row r="51" spans="1:7">
      <c r="A51" s="14" t="s">
        <v>16</v>
      </c>
      <c r="B51" s="14" t="s">
        <v>50</v>
      </c>
      <c r="C51" s="14" t="s">
        <v>29</v>
      </c>
      <c r="D51" s="14">
        <v>54.23</v>
      </c>
      <c r="E51" s="14" t="s">
        <v>44</v>
      </c>
      <c r="F51" s="14">
        <v>20</v>
      </c>
      <c r="G51" s="14">
        <v>50</v>
      </c>
    </row>
    <row r="52" spans="1:7">
      <c r="A52" s="14" t="s">
        <v>16</v>
      </c>
      <c r="B52" s="14" t="s">
        <v>50</v>
      </c>
      <c r="C52" s="14" t="s">
        <v>30</v>
      </c>
      <c r="D52" s="14">
        <v>37.33</v>
      </c>
      <c r="E52" s="14" t="s">
        <v>42</v>
      </c>
      <c r="F52" s="14">
        <v>20</v>
      </c>
      <c r="G52" s="14">
        <v>42</v>
      </c>
    </row>
    <row r="53" spans="1:7">
      <c r="A53" s="14" t="s">
        <v>17</v>
      </c>
      <c r="B53" s="14" t="s">
        <v>50</v>
      </c>
      <c r="C53" s="14" t="s">
        <v>28</v>
      </c>
      <c r="D53" s="14">
        <v>21.1</v>
      </c>
      <c r="E53" s="14" t="s">
        <v>39</v>
      </c>
      <c r="F53" s="14">
        <v>20</v>
      </c>
      <c r="G53" s="14">
        <v>30</v>
      </c>
    </row>
    <row r="54" spans="1:7">
      <c r="A54" s="14" t="s">
        <v>17</v>
      </c>
      <c r="B54" s="14" t="s">
        <v>50</v>
      </c>
      <c r="C54" s="14" t="s">
        <v>29</v>
      </c>
      <c r="D54" s="14">
        <v>66.13</v>
      </c>
      <c r="E54" s="14" t="s">
        <v>44</v>
      </c>
      <c r="F54" s="14">
        <v>20</v>
      </c>
      <c r="G54" s="14">
        <v>56</v>
      </c>
    </row>
    <row r="55" spans="1:7" ht="15" thickBot="1">
      <c r="A55" s="14" t="s">
        <v>17</v>
      </c>
      <c r="B55" s="14" t="s">
        <v>50</v>
      </c>
      <c r="C55" s="14" t="s">
        <v>30</v>
      </c>
      <c r="D55" s="14">
        <v>47.3</v>
      </c>
      <c r="E55" s="14" t="s">
        <v>43</v>
      </c>
      <c r="F55" s="14">
        <v>20</v>
      </c>
      <c r="G55" s="14">
        <v>46</v>
      </c>
    </row>
    <row r="56" spans="1:7" ht="15" thickBot="1">
      <c r="A56" s="6" t="s">
        <v>18</v>
      </c>
      <c r="B56" s="14" t="s">
        <v>50</v>
      </c>
      <c r="C56" s="3" t="s">
        <v>28</v>
      </c>
      <c r="D56" s="6">
        <v>26.09</v>
      </c>
      <c r="E56" s="3" t="s">
        <v>41</v>
      </c>
      <c r="F56" s="3">
        <v>20</v>
      </c>
      <c r="G56" s="3">
        <v>32</v>
      </c>
    </row>
    <row r="57" spans="1:7">
      <c r="A57" s="6" t="s">
        <v>18</v>
      </c>
      <c r="B57" s="14" t="s">
        <v>50</v>
      </c>
      <c r="C57" s="3" t="s">
        <v>29</v>
      </c>
      <c r="D57" s="6">
        <v>87.14</v>
      </c>
      <c r="E57" s="3" t="s">
        <v>45</v>
      </c>
      <c r="F57" s="3">
        <v>20</v>
      </c>
      <c r="G57" s="3">
        <v>68</v>
      </c>
    </row>
    <row r="58" spans="1:7" ht="15" thickBot="1">
      <c r="A58" s="14" t="s">
        <v>18</v>
      </c>
      <c r="B58" s="14" t="s">
        <v>50</v>
      </c>
      <c r="C58" s="14" t="s">
        <v>30</v>
      </c>
      <c r="D58" s="14">
        <v>59.08</v>
      </c>
      <c r="E58" s="14" t="s">
        <v>44</v>
      </c>
      <c r="F58" s="14">
        <v>20</v>
      </c>
      <c r="G58" s="14">
        <v>52</v>
      </c>
    </row>
    <row r="59" spans="1:7" ht="15" thickBot="1">
      <c r="A59" s="14" t="s">
        <v>19</v>
      </c>
      <c r="B59" s="14" t="s">
        <v>50</v>
      </c>
      <c r="C59" s="14" t="s">
        <v>28</v>
      </c>
      <c r="D59" s="6">
        <v>30.74</v>
      </c>
      <c r="E59" s="3" t="s">
        <v>41</v>
      </c>
      <c r="F59" s="3">
        <v>24</v>
      </c>
      <c r="G59" s="3">
        <v>40</v>
      </c>
    </row>
    <row r="60" spans="1:7">
      <c r="A60" s="14" t="s">
        <v>19</v>
      </c>
      <c r="B60" s="14" t="s">
        <v>50</v>
      </c>
      <c r="C60" s="14" t="s">
        <v>29</v>
      </c>
      <c r="D60" s="6">
        <v>107.59</v>
      </c>
      <c r="E60" s="3" t="s">
        <v>46</v>
      </c>
      <c r="F60" s="3">
        <v>24</v>
      </c>
      <c r="G60" s="3">
        <v>85</v>
      </c>
    </row>
    <row r="61" spans="1:7" ht="15" thickBot="1">
      <c r="A61" s="14" t="s">
        <v>19</v>
      </c>
      <c r="B61" s="14" t="s">
        <v>50</v>
      </c>
      <c r="C61" s="14" t="s">
        <v>30</v>
      </c>
      <c r="D61" s="14">
        <v>71.8</v>
      </c>
      <c r="E61" s="14" t="s">
        <v>44</v>
      </c>
      <c r="F61" s="14">
        <v>24</v>
      </c>
      <c r="G61" s="14">
        <v>63</v>
      </c>
    </row>
    <row r="62" spans="1:7" ht="15" thickBot="1">
      <c r="A62" s="14" t="s">
        <v>20</v>
      </c>
      <c r="B62" s="14" t="s">
        <v>50</v>
      </c>
      <c r="C62" s="14" t="s">
        <v>28</v>
      </c>
      <c r="D62" s="6">
        <v>38.44</v>
      </c>
      <c r="E62" s="3" t="s">
        <v>42</v>
      </c>
      <c r="F62" s="3">
        <v>24</v>
      </c>
      <c r="G62" s="3">
        <v>44</v>
      </c>
    </row>
    <row r="63" spans="1:7">
      <c r="A63" s="14" t="s">
        <v>20</v>
      </c>
      <c r="B63" s="14" t="s">
        <v>50</v>
      </c>
      <c r="C63" s="14" t="s">
        <v>29</v>
      </c>
      <c r="D63" s="6">
        <v>139.51</v>
      </c>
      <c r="E63" s="3" t="s">
        <v>47</v>
      </c>
      <c r="F63" s="3">
        <v>24</v>
      </c>
      <c r="G63" s="3">
        <v>95</v>
      </c>
    </row>
    <row r="64" spans="1:7" ht="15" thickBot="1">
      <c r="A64" s="14" t="s">
        <v>20</v>
      </c>
      <c r="B64" s="14" t="s">
        <v>50</v>
      </c>
      <c r="C64" s="14" t="s">
        <v>30</v>
      </c>
      <c r="D64" s="14">
        <v>80.400000000000006</v>
      </c>
      <c r="E64" s="14" t="s">
        <v>45</v>
      </c>
      <c r="F64" s="14">
        <v>24</v>
      </c>
      <c r="G64" s="14">
        <v>74</v>
      </c>
    </row>
    <row r="65" spans="1:12" ht="15" thickBot="1">
      <c r="A65" s="14" t="s">
        <v>21</v>
      </c>
      <c r="B65" s="14" t="s">
        <v>50</v>
      </c>
      <c r="C65" s="14" t="s">
        <v>28</v>
      </c>
      <c r="D65" s="6">
        <v>46.08</v>
      </c>
      <c r="E65" s="3" t="s">
        <v>42</v>
      </c>
      <c r="F65" s="3">
        <v>24</v>
      </c>
      <c r="G65" s="3">
        <v>48</v>
      </c>
    </row>
    <row r="66" spans="1:12">
      <c r="A66" s="14" t="s">
        <v>21</v>
      </c>
      <c r="B66" s="14" t="s">
        <v>50</v>
      </c>
      <c r="C66" s="14" t="s">
        <v>29</v>
      </c>
      <c r="D66" s="6">
        <v>164.77</v>
      </c>
      <c r="E66" s="3" t="s">
        <v>47</v>
      </c>
      <c r="F66" s="3">
        <v>28</v>
      </c>
      <c r="G66" s="3">
        <v>62</v>
      </c>
    </row>
    <row r="67" spans="1:12" ht="15" thickBot="1">
      <c r="A67" s="14" t="s">
        <v>21</v>
      </c>
      <c r="B67" s="14" t="s">
        <v>50</v>
      </c>
      <c r="C67" s="14" t="s">
        <v>30</v>
      </c>
      <c r="D67" s="14">
        <v>92.84</v>
      </c>
      <c r="E67" s="14" t="s">
        <v>45</v>
      </c>
      <c r="F67" s="14">
        <v>28</v>
      </c>
      <c r="G67" s="14">
        <v>82</v>
      </c>
    </row>
    <row r="68" spans="1:12" ht="15" thickBot="1">
      <c r="A68" s="14" t="s">
        <v>22</v>
      </c>
      <c r="B68" s="14" t="s">
        <v>50</v>
      </c>
      <c r="C68" s="14" t="s">
        <v>28</v>
      </c>
      <c r="D68" s="6">
        <v>49.82</v>
      </c>
      <c r="E68" s="3" t="s">
        <v>42</v>
      </c>
      <c r="F68" s="3">
        <v>28</v>
      </c>
      <c r="G68" s="3">
        <v>52</v>
      </c>
    </row>
    <row r="69" spans="1:12">
      <c r="A69" s="14" t="s">
        <v>22</v>
      </c>
      <c r="B69" s="14" t="s">
        <v>50</v>
      </c>
      <c r="C69" s="14" t="s">
        <v>29</v>
      </c>
      <c r="D69" s="6">
        <v>217.33</v>
      </c>
      <c r="E69" s="3" t="s">
        <v>58</v>
      </c>
      <c r="F69" s="3">
        <v>28</v>
      </c>
      <c r="G69" s="3">
        <v>72</v>
      </c>
    </row>
    <row r="70" spans="1:12" ht="15" thickBot="1">
      <c r="A70" s="14" t="s">
        <v>22</v>
      </c>
      <c r="B70" s="14" t="s">
        <v>50</v>
      </c>
      <c r="C70" s="14" t="s">
        <v>30</v>
      </c>
      <c r="D70" s="14">
        <v>124</v>
      </c>
      <c r="E70" s="14" t="s">
        <v>46</v>
      </c>
      <c r="F70" s="14">
        <v>28</v>
      </c>
      <c r="G70" s="14">
        <v>90</v>
      </c>
    </row>
    <row r="71" spans="1:12" ht="15" thickBot="1">
      <c r="A71" s="14" t="s">
        <v>23</v>
      </c>
      <c r="B71" s="14" t="s">
        <v>50</v>
      </c>
      <c r="C71" s="14" t="s">
        <v>28</v>
      </c>
      <c r="D71" s="6">
        <v>75.62</v>
      </c>
      <c r="E71" s="3" t="s">
        <v>43</v>
      </c>
      <c r="F71" s="3">
        <v>32</v>
      </c>
      <c r="G71" s="3">
        <v>60</v>
      </c>
    </row>
    <row r="72" spans="1:12">
      <c r="A72" s="14" t="s">
        <v>23</v>
      </c>
      <c r="B72" s="14" t="s">
        <v>50</v>
      </c>
      <c r="C72" s="14" t="s">
        <v>29</v>
      </c>
      <c r="D72" s="6">
        <v>280.82</v>
      </c>
      <c r="E72" s="3" t="s">
        <v>58</v>
      </c>
      <c r="F72" s="3">
        <v>32</v>
      </c>
      <c r="G72" s="3">
        <v>82</v>
      </c>
    </row>
    <row r="73" spans="1:12">
      <c r="A73" s="14" t="s">
        <v>23</v>
      </c>
      <c r="B73" s="14" t="s">
        <v>50</v>
      </c>
      <c r="C73" s="14" t="s">
        <v>30</v>
      </c>
      <c r="D73" s="14">
        <v>184.43</v>
      </c>
      <c r="E73" s="14" t="s">
        <v>47</v>
      </c>
      <c r="F73" s="14">
        <v>32</v>
      </c>
      <c r="G73" s="14">
        <v>98</v>
      </c>
    </row>
    <row r="75" spans="1:12" ht="15" thickBot="1">
      <c r="L75" s="12"/>
    </row>
    <row r="76" spans="1:12" ht="15" thickBot="1">
      <c r="L76" s="12"/>
    </row>
    <row r="77" spans="1:12" ht="15" thickBot="1">
      <c r="L77" s="12"/>
    </row>
    <row r="78" spans="1:12" ht="15" thickBot="1">
      <c r="L78" s="12"/>
    </row>
    <row r="79" spans="1:12" ht="15" thickBot="1">
      <c r="L79" s="11"/>
    </row>
    <row r="80" spans="1:12" ht="15" thickBot="1">
      <c r="L80" s="11"/>
    </row>
    <row r="81" spans="12:12" ht="15" thickBot="1">
      <c r="L81" s="11"/>
    </row>
    <row r="82" spans="12:12" ht="15" thickBot="1">
      <c r="L82" s="11"/>
    </row>
    <row r="83" spans="12:12" ht="15" thickBot="1">
      <c r="L83" s="11"/>
    </row>
    <row r="84" spans="12:12" ht="15" thickBot="1">
      <c r="L84" s="11"/>
    </row>
    <row r="85" spans="12:12" ht="15" thickBot="1">
      <c r="L85" s="11"/>
    </row>
    <row r="86" spans="12:12" ht="15" thickBot="1">
      <c r="L86" s="11"/>
    </row>
    <row r="87" spans="12:12" ht="15" thickBot="1">
      <c r="L87" s="11"/>
    </row>
    <row r="88" spans="12:12" ht="15" thickBot="1">
      <c r="L88" s="11"/>
    </row>
    <row r="89" spans="12:12" ht="15" thickBot="1">
      <c r="L89" s="11"/>
    </row>
    <row r="90" spans="12:12" ht="15" thickBot="1">
      <c r="L90" s="11"/>
    </row>
    <row r="91" spans="12:12" ht="15" thickBot="1">
      <c r="L91" s="11"/>
    </row>
    <row r="92" spans="12:12" ht="15" thickBot="1">
      <c r="L92" s="11"/>
    </row>
    <row r="93" spans="12:12" ht="15" thickBot="1">
      <c r="L93" s="11"/>
    </row>
    <row r="94" spans="12:12" ht="15" thickBot="1">
      <c r="L94" s="11"/>
    </row>
    <row r="95" spans="12:12" ht="15" thickBot="1">
      <c r="L95" s="11"/>
    </row>
    <row r="96" spans="12:12" ht="15" thickBot="1">
      <c r="L96" s="11"/>
    </row>
    <row r="97" spans="11:14" ht="15" thickBot="1">
      <c r="L97" s="11"/>
    </row>
    <row r="98" spans="11:14" ht="15" thickBot="1">
      <c r="L98" s="11"/>
    </row>
    <row r="99" spans="11:14" ht="15" thickBot="1">
      <c r="L99" s="11"/>
    </row>
    <row r="100" spans="11:14" ht="15" thickBot="1">
      <c r="L100" s="11"/>
    </row>
    <row r="101" spans="11:14" ht="15" thickBot="1">
      <c r="L101" s="11"/>
    </row>
    <row r="102" spans="11:14" ht="15" thickBot="1">
      <c r="L102" s="11"/>
    </row>
    <row r="103" spans="11:14" ht="15" thickBot="1">
      <c r="K103" s="9"/>
      <c r="L103" s="11"/>
    </row>
    <row r="104" spans="11:14" ht="15" thickBot="1">
      <c r="K104" s="9"/>
      <c r="L104" s="11"/>
    </row>
    <row r="105" spans="11:14" ht="15" thickBot="1">
      <c r="K105" s="9"/>
      <c r="L105" s="11"/>
    </row>
    <row r="106" spans="11:14" ht="15" thickBot="1">
      <c r="K106" s="10"/>
      <c r="L106" s="11"/>
    </row>
    <row r="107" spans="11:14" ht="15" thickBot="1">
      <c r="K107" s="10"/>
      <c r="L107" s="11"/>
    </row>
    <row r="108" spans="11:14" ht="15" thickBot="1">
      <c r="K108" s="10"/>
      <c r="L108" s="11"/>
    </row>
    <row r="109" spans="11:14" ht="15" thickBot="1">
      <c r="K109" s="10"/>
    </row>
    <row r="110" spans="11:14" ht="15" thickBot="1">
      <c r="N110" s="10"/>
    </row>
    <row r="111" spans="11:14" ht="15" thickBot="1">
      <c r="N111" s="10"/>
    </row>
    <row r="112" spans="11:14" ht="15" thickBot="1">
      <c r="N112" s="10"/>
    </row>
    <row r="113" spans="14:14" ht="15" thickBot="1">
      <c r="N113" s="10"/>
    </row>
    <row r="114" spans="14:14" ht="15" thickBot="1">
      <c r="N114" s="10"/>
    </row>
    <row r="115" spans="14:14" ht="15" thickBot="1">
      <c r="N115" s="10"/>
    </row>
    <row r="116" spans="14:14" ht="15" thickBot="1">
      <c r="N116" s="10"/>
    </row>
    <row r="117" spans="14:14" ht="15" thickBot="1">
      <c r="N117" s="10"/>
    </row>
    <row r="118" spans="14:14" ht="15" thickBot="1">
      <c r="N118" s="10"/>
    </row>
    <row r="119" spans="14:14" ht="15" thickBot="1">
      <c r="N119" s="10"/>
    </row>
    <row r="120" spans="14:14" ht="15" thickBot="1">
      <c r="N120" s="10"/>
    </row>
    <row r="121" spans="14:14" ht="15" thickBot="1">
      <c r="N121" s="10"/>
    </row>
    <row r="122" spans="14:14" ht="15" thickBot="1">
      <c r="N122" s="10"/>
    </row>
    <row r="123" spans="14:14" ht="15" thickBot="1">
      <c r="N123" s="10"/>
    </row>
    <row r="124" spans="14:14" ht="15" thickBot="1">
      <c r="N124" s="10"/>
    </row>
    <row r="125" spans="14:14" ht="15" thickBot="1">
      <c r="N125" s="10"/>
    </row>
    <row r="126" spans="14:14" ht="15" thickBot="1">
      <c r="N126" s="10"/>
    </row>
    <row r="127" spans="14:14" ht="15" thickBot="1">
      <c r="N127" s="10"/>
    </row>
    <row r="128" spans="14:14" ht="15" thickBot="1">
      <c r="N128" s="10"/>
    </row>
    <row r="129" spans="14:14" ht="15" thickBot="1">
      <c r="N129" s="10"/>
    </row>
    <row r="130" spans="14:14" ht="15" thickBot="1">
      <c r="N130" s="10"/>
    </row>
    <row r="131" spans="14:14" ht="15" thickBot="1">
      <c r="N131" s="10"/>
    </row>
    <row r="132" spans="14:14" ht="15" thickBot="1">
      <c r="N132" s="10"/>
    </row>
    <row r="133" spans="14:14" ht="15" thickBot="1">
      <c r="N133" s="10"/>
    </row>
    <row r="134" spans="14:14" ht="15" thickBot="1">
      <c r="N134" s="10"/>
    </row>
    <row r="135" spans="14:14" ht="15" thickBot="1">
      <c r="N135" s="10"/>
    </row>
    <row r="136" spans="14:14" ht="15" thickBot="1">
      <c r="N136" s="10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4365-F646-42D0-9A36-B21DD8160981}">
  <sheetPr codeName="Sayfa1"/>
  <dimension ref="A1:S207"/>
  <sheetViews>
    <sheetView topLeftCell="A132" workbookViewId="0">
      <selection activeCell="N202" sqref="N202"/>
    </sheetView>
  </sheetViews>
  <sheetFormatPr defaultRowHeight="14.4"/>
  <cols>
    <col min="1" max="1" width="7.6640625" style="19" bestFit="1" customWidth="1"/>
    <col min="2" max="2" width="22.44140625" style="19" customWidth="1"/>
    <col min="3" max="3" width="11.6640625" style="19" bestFit="1" customWidth="1"/>
    <col min="4" max="4" width="6.77734375" style="19" customWidth="1"/>
    <col min="5" max="5" width="6.6640625" style="19" customWidth="1"/>
    <col min="6" max="6" width="4.44140625" style="19" customWidth="1"/>
    <col min="7" max="7" width="12.6640625" style="22" bestFit="1" customWidth="1"/>
    <col min="8" max="8" width="11.5546875" style="19" bestFit="1" customWidth="1"/>
    <col min="9" max="10" width="8.88671875" style="19"/>
    <col min="11" max="11" width="14.109375" style="19" bestFit="1" customWidth="1"/>
    <col min="12" max="12" width="13.77734375" style="19" bestFit="1" customWidth="1"/>
    <col min="13" max="13" width="13.109375" style="19" bestFit="1" customWidth="1"/>
    <col min="14" max="14" width="12.44140625" style="19" customWidth="1"/>
    <col min="15" max="15" width="9.109375" style="19" bestFit="1" customWidth="1"/>
    <col min="16" max="16" width="11.6640625" style="19" bestFit="1" customWidth="1"/>
    <col min="17" max="17" width="17.6640625" style="19" bestFit="1" customWidth="1"/>
    <col min="18" max="18" width="8.88671875" style="19"/>
    <col min="19" max="19" width="17.6640625" style="19" bestFit="1" customWidth="1"/>
    <col min="20" max="16384" width="8.88671875" style="19"/>
  </cols>
  <sheetData>
    <row r="1" spans="1:8" ht="27" thickBot="1">
      <c r="A1" s="15" t="s">
        <v>24</v>
      </c>
      <c r="B1" s="16" t="s">
        <v>25</v>
      </c>
      <c r="C1" s="17" t="s">
        <v>27</v>
      </c>
      <c r="D1" s="15" t="s">
        <v>35</v>
      </c>
      <c r="E1" s="15" t="s">
        <v>40</v>
      </c>
      <c r="F1" s="15" t="s">
        <v>34</v>
      </c>
      <c r="G1" s="18" t="s">
        <v>60</v>
      </c>
      <c r="H1" s="18" t="s">
        <v>56</v>
      </c>
    </row>
    <row r="2" spans="1:8" ht="15" thickBot="1">
      <c r="A2" s="20" t="s">
        <v>8</v>
      </c>
      <c r="B2" s="21" t="s">
        <v>51</v>
      </c>
      <c r="C2" s="21" t="s">
        <v>29</v>
      </c>
      <c r="D2" s="21">
        <v>21</v>
      </c>
      <c r="E2" s="21" t="s">
        <v>38</v>
      </c>
      <c r="F2" s="21">
        <v>8</v>
      </c>
      <c r="G2" s="21">
        <v>200</v>
      </c>
      <c r="H2" s="22"/>
    </row>
    <row r="3" spans="1:8" ht="15" thickBot="1">
      <c r="A3" s="23" t="s">
        <v>8</v>
      </c>
      <c r="B3" s="24" t="s">
        <v>51</v>
      </c>
      <c r="C3" s="24" t="s">
        <v>30</v>
      </c>
      <c r="D3" s="24">
        <v>21</v>
      </c>
      <c r="E3" s="24" t="s">
        <v>38</v>
      </c>
      <c r="F3" s="24">
        <v>8</v>
      </c>
      <c r="G3" s="24">
        <v>200</v>
      </c>
      <c r="H3" s="22"/>
    </row>
    <row r="4" spans="1:8" ht="15" thickBot="1">
      <c r="A4" s="20" t="s">
        <v>9</v>
      </c>
      <c r="B4" s="21" t="s">
        <v>51</v>
      </c>
      <c r="C4" s="21" t="s">
        <v>29</v>
      </c>
      <c r="D4" s="21">
        <v>24</v>
      </c>
      <c r="E4" s="21" t="s">
        <v>38</v>
      </c>
      <c r="F4" s="21">
        <v>8</v>
      </c>
      <c r="G4" s="21">
        <v>200</v>
      </c>
      <c r="H4" s="22"/>
    </row>
    <row r="5" spans="1:8" ht="15" thickBot="1">
      <c r="A5" s="23" t="s">
        <v>9</v>
      </c>
      <c r="B5" s="24" t="s">
        <v>51</v>
      </c>
      <c r="C5" s="24" t="s">
        <v>30</v>
      </c>
      <c r="D5" s="24">
        <v>24</v>
      </c>
      <c r="E5" s="24" t="s">
        <v>38</v>
      </c>
      <c r="F5" s="24">
        <v>8</v>
      </c>
      <c r="G5" s="24">
        <v>200</v>
      </c>
      <c r="H5" s="22"/>
    </row>
    <row r="6" spans="1:8" ht="15" thickBot="1">
      <c r="A6" s="20" t="s">
        <v>10</v>
      </c>
      <c r="B6" s="21" t="s">
        <v>51</v>
      </c>
      <c r="C6" s="21" t="s">
        <v>29</v>
      </c>
      <c r="D6" s="21">
        <v>35</v>
      </c>
      <c r="E6" s="21" t="s">
        <v>39</v>
      </c>
      <c r="F6" s="21">
        <v>8</v>
      </c>
      <c r="G6" s="21">
        <v>200</v>
      </c>
      <c r="H6" s="22"/>
    </row>
    <row r="7" spans="1:8" ht="15" thickBot="1">
      <c r="A7" s="23" t="s">
        <v>10</v>
      </c>
      <c r="B7" s="24" t="s">
        <v>51</v>
      </c>
      <c r="C7" s="24" t="s">
        <v>30</v>
      </c>
      <c r="D7" s="24">
        <v>35</v>
      </c>
      <c r="E7" s="24" t="s">
        <v>39</v>
      </c>
      <c r="F7" s="24">
        <v>8</v>
      </c>
      <c r="G7" s="24">
        <v>200</v>
      </c>
      <c r="H7" s="22"/>
    </row>
    <row r="8" spans="1:8" ht="15" thickBot="1">
      <c r="A8" s="20" t="s">
        <v>11</v>
      </c>
      <c r="B8" s="21" t="s">
        <v>51</v>
      </c>
      <c r="C8" s="21" t="s">
        <v>29</v>
      </c>
      <c r="D8" s="21">
        <v>49</v>
      </c>
      <c r="E8" s="21" t="s">
        <v>39</v>
      </c>
      <c r="F8" s="21">
        <v>8</v>
      </c>
      <c r="G8" s="21">
        <v>220</v>
      </c>
      <c r="H8" s="22"/>
    </row>
    <row r="9" spans="1:8" ht="15" thickBot="1">
      <c r="A9" s="23" t="s">
        <v>11</v>
      </c>
      <c r="B9" s="24" t="s">
        <v>51</v>
      </c>
      <c r="C9" s="24" t="s">
        <v>30</v>
      </c>
      <c r="D9" s="24">
        <v>52</v>
      </c>
      <c r="E9" s="24" t="s">
        <v>39</v>
      </c>
      <c r="F9" s="24">
        <v>12</v>
      </c>
      <c r="G9" s="24">
        <v>220</v>
      </c>
      <c r="H9" s="22"/>
    </row>
    <row r="10" spans="1:8" ht="15" thickBot="1">
      <c r="A10" s="20" t="s">
        <v>12</v>
      </c>
      <c r="B10" s="21" t="s">
        <v>51</v>
      </c>
      <c r="C10" s="21" t="s">
        <v>29</v>
      </c>
      <c r="D10" s="21">
        <v>64</v>
      </c>
      <c r="E10" s="21" t="s">
        <v>39</v>
      </c>
      <c r="F10" s="21">
        <v>12</v>
      </c>
      <c r="G10" s="21">
        <v>220</v>
      </c>
      <c r="H10" s="22"/>
    </row>
    <row r="11" spans="1:8" ht="15" thickBot="1">
      <c r="A11" s="23" t="s">
        <v>12</v>
      </c>
      <c r="B11" s="24" t="s">
        <v>51</v>
      </c>
      <c r="C11" s="24" t="s">
        <v>30</v>
      </c>
      <c r="D11" s="24">
        <v>76</v>
      </c>
      <c r="E11" s="24" t="s">
        <v>41</v>
      </c>
      <c r="F11" s="24">
        <v>12</v>
      </c>
      <c r="G11" s="24">
        <v>230</v>
      </c>
      <c r="H11" s="22"/>
    </row>
    <row r="12" spans="1:8" ht="15" thickBot="1">
      <c r="A12" s="20" t="s">
        <v>13</v>
      </c>
      <c r="B12" s="21" t="s">
        <v>51</v>
      </c>
      <c r="C12" s="21" t="s">
        <v>29</v>
      </c>
      <c r="D12" s="21">
        <v>73</v>
      </c>
      <c r="E12" s="21" t="s">
        <v>39</v>
      </c>
      <c r="F12" s="21">
        <v>12</v>
      </c>
      <c r="G12" s="21">
        <v>220</v>
      </c>
      <c r="H12" s="22"/>
    </row>
    <row r="13" spans="1:8" ht="15" thickBot="1">
      <c r="A13" s="23" t="s">
        <v>13</v>
      </c>
      <c r="B13" s="24" t="s">
        <v>51</v>
      </c>
      <c r="C13" s="24" t="s">
        <v>30</v>
      </c>
      <c r="D13" s="24">
        <v>93</v>
      </c>
      <c r="E13" s="24" t="s">
        <v>41</v>
      </c>
      <c r="F13" s="24">
        <v>12</v>
      </c>
      <c r="G13" s="24">
        <v>250</v>
      </c>
      <c r="H13" s="22"/>
    </row>
    <row r="14" spans="1:8" ht="15" thickBot="1">
      <c r="A14" s="20" t="s">
        <v>14</v>
      </c>
      <c r="B14" s="21" t="s">
        <v>51</v>
      </c>
      <c r="C14" s="21" t="s">
        <v>29</v>
      </c>
      <c r="D14" s="21">
        <v>96</v>
      </c>
      <c r="E14" s="21" t="s">
        <v>39</v>
      </c>
      <c r="F14" s="21">
        <v>16</v>
      </c>
      <c r="G14" s="21">
        <v>230</v>
      </c>
      <c r="H14" s="22"/>
    </row>
    <row r="15" spans="1:8" ht="15" thickBot="1">
      <c r="A15" s="23" t="s">
        <v>14</v>
      </c>
      <c r="B15" s="24" t="s">
        <v>51</v>
      </c>
      <c r="C15" s="24" t="s">
        <v>30</v>
      </c>
      <c r="D15" s="24">
        <v>129</v>
      </c>
      <c r="E15" s="24" t="s">
        <v>41</v>
      </c>
      <c r="F15" s="24">
        <v>16</v>
      </c>
      <c r="G15" s="24">
        <v>260</v>
      </c>
      <c r="H15" s="22"/>
    </row>
    <row r="16" spans="1:8" ht="15" thickBot="1">
      <c r="A16" s="20" t="s">
        <v>15</v>
      </c>
      <c r="B16" s="21" t="s">
        <v>51</v>
      </c>
      <c r="C16" s="21" t="s">
        <v>29</v>
      </c>
      <c r="D16" s="21">
        <v>124</v>
      </c>
      <c r="E16" s="21" t="s">
        <v>41</v>
      </c>
      <c r="F16" s="21">
        <v>16</v>
      </c>
      <c r="G16" s="21">
        <v>230</v>
      </c>
      <c r="H16" s="22"/>
    </row>
    <row r="17" spans="1:8" ht="15" thickBot="1">
      <c r="A17" s="23" t="s">
        <v>15</v>
      </c>
      <c r="B17" s="24" t="s">
        <v>51</v>
      </c>
      <c r="C17" s="24" t="s">
        <v>30</v>
      </c>
      <c r="D17" s="24">
        <v>164</v>
      </c>
      <c r="E17" s="24" t="s">
        <v>42</v>
      </c>
      <c r="F17" s="24">
        <v>16</v>
      </c>
      <c r="G17" s="24">
        <v>270</v>
      </c>
      <c r="H17" s="22"/>
    </row>
    <row r="18" spans="1:8" ht="15" thickBot="1">
      <c r="A18" s="20" t="s">
        <v>16</v>
      </c>
      <c r="B18" s="21" t="s">
        <v>51</v>
      </c>
      <c r="C18" s="21" t="s">
        <v>29</v>
      </c>
      <c r="D18" s="21">
        <v>141</v>
      </c>
      <c r="E18" s="21" t="s">
        <v>41</v>
      </c>
      <c r="F18" s="21">
        <v>20</v>
      </c>
      <c r="G18" s="21">
        <v>250</v>
      </c>
      <c r="H18" s="22"/>
    </row>
    <row r="19" spans="1:8" ht="15" thickBot="1">
      <c r="A19" s="23" t="s">
        <v>16</v>
      </c>
      <c r="B19" s="24" t="s">
        <v>51</v>
      </c>
      <c r="C19" s="24" t="s">
        <v>30</v>
      </c>
      <c r="D19" s="24">
        <v>190</v>
      </c>
      <c r="E19" s="24" t="s">
        <v>42</v>
      </c>
      <c r="F19" s="24">
        <v>20</v>
      </c>
      <c r="G19" s="24">
        <v>270</v>
      </c>
      <c r="H19" s="22"/>
    </row>
    <row r="20" spans="1:8" ht="15" thickBot="1">
      <c r="A20" s="20" t="s">
        <v>17</v>
      </c>
      <c r="B20" s="21" t="s">
        <v>51</v>
      </c>
      <c r="C20" s="21" t="s">
        <v>29</v>
      </c>
      <c r="D20" s="21">
        <v>160</v>
      </c>
      <c r="E20" s="21" t="s">
        <v>41</v>
      </c>
      <c r="F20" s="21">
        <v>20</v>
      </c>
      <c r="G20" s="21">
        <v>260</v>
      </c>
      <c r="H20" s="22"/>
    </row>
    <row r="21" spans="1:8" ht="15" thickBot="1">
      <c r="A21" s="23" t="s">
        <v>17</v>
      </c>
      <c r="B21" s="24" t="s">
        <v>51</v>
      </c>
      <c r="C21" s="24" t="s">
        <v>30</v>
      </c>
      <c r="D21" s="24">
        <v>243</v>
      </c>
      <c r="E21" s="24" t="s">
        <v>43</v>
      </c>
      <c r="F21" s="24">
        <v>20</v>
      </c>
      <c r="G21" s="24">
        <v>280</v>
      </c>
      <c r="H21" s="22"/>
    </row>
    <row r="22" spans="1:8" ht="15" thickBot="1">
      <c r="A22" s="20" t="s">
        <v>18</v>
      </c>
      <c r="B22" s="21" t="s">
        <v>51</v>
      </c>
      <c r="C22" s="21" t="s">
        <v>29</v>
      </c>
      <c r="D22" s="21">
        <v>207</v>
      </c>
      <c r="E22" s="21" t="s">
        <v>42</v>
      </c>
      <c r="F22" s="21">
        <v>20</v>
      </c>
      <c r="G22" s="21">
        <v>260</v>
      </c>
      <c r="H22" s="22"/>
    </row>
    <row r="23" spans="1:8" ht="15" thickBot="1">
      <c r="A23" s="23" t="s">
        <v>18</v>
      </c>
      <c r="B23" s="24" t="s">
        <v>51</v>
      </c>
      <c r="C23" s="24" t="s">
        <v>30</v>
      </c>
      <c r="D23" s="24">
        <v>332</v>
      </c>
      <c r="E23" s="24" t="s">
        <v>44</v>
      </c>
      <c r="F23" s="24">
        <v>20</v>
      </c>
      <c r="G23" s="24">
        <v>300</v>
      </c>
      <c r="H23" s="22"/>
    </row>
    <row r="24" spans="1:8" ht="15" thickBot="1">
      <c r="A24" s="20" t="s">
        <v>19</v>
      </c>
      <c r="B24" s="21" t="s">
        <v>51</v>
      </c>
      <c r="C24" s="21" t="s">
        <v>29</v>
      </c>
      <c r="D24" s="21">
        <v>259</v>
      </c>
      <c r="E24" s="21" t="s">
        <v>42</v>
      </c>
      <c r="F24" s="21">
        <v>24</v>
      </c>
      <c r="G24" s="21">
        <v>260</v>
      </c>
      <c r="H24" s="22"/>
    </row>
    <row r="25" spans="1:8" ht="15" thickBot="1">
      <c r="A25" s="23" t="s">
        <v>19</v>
      </c>
      <c r="B25" s="24" t="s">
        <v>51</v>
      </c>
      <c r="C25" s="24" t="s">
        <v>30</v>
      </c>
      <c r="D25" s="24">
        <v>368</v>
      </c>
      <c r="E25" s="24" t="s">
        <v>44</v>
      </c>
      <c r="F25" s="24">
        <v>24</v>
      </c>
      <c r="G25" s="24">
        <v>300</v>
      </c>
      <c r="H25" s="22"/>
    </row>
    <row r="26" spans="1:8" ht="15" thickBot="1">
      <c r="A26" s="20" t="s">
        <v>20</v>
      </c>
      <c r="B26" s="21" t="s">
        <v>51</v>
      </c>
      <c r="C26" s="21" t="s">
        <v>29</v>
      </c>
      <c r="D26" s="21">
        <v>354</v>
      </c>
      <c r="E26" s="21" t="s">
        <v>43</v>
      </c>
      <c r="F26" s="21">
        <v>24</v>
      </c>
      <c r="G26" s="21">
        <v>290</v>
      </c>
      <c r="H26" s="22"/>
    </row>
    <row r="27" spans="1:8" ht="15" thickBot="1">
      <c r="A27" s="23" t="s">
        <v>20</v>
      </c>
      <c r="B27" s="24" t="s">
        <v>51</v>
      </c>
      <c r="C27" s="24" t="s">
        <v>30</v>
      </c>
      <c r="D27" s="24">
        <v>480</v>
      </c>
      <c r="E27" s="24" t="s">
        <v>45</v>
      </c>
      <c r="F27" s="24">
        <v>24</v>
      </c>
      <c r="G27" s="24">
        <v>320</v>
      </c>
      <c r="H27" s="22"/>
    </row>
    <row r="28" spans="1:8" ht="15" thickBot="1">
      <c r="A28" s="20" t="s">
        <v>21</v>
      </c>
      <c r="B28" s="21" t="s">
        <v>51</v>
      </c>
      <c r="C28" s="21" t="s">
        <v>29</v>
      </c>
      <c r="D28" s="21">
        <v>407</v>
      </c>
      <c r="E28" s="21" t="s">
        <v>43</v>
      </c>
      <c r="F28" s="21">
        <v>28</v>
      </c>
      <c r="G28" s="21">
        <v>290</v>
      </c>
      <c r="H28" s="22"/>
    </row>
    <row r="29" spans="1:8" ht="15" thickBot="1">
      <c r="A29" s="23" t="s">
        <v>21</v>
      </c>
      <c r="B29" s="24" t="s">
        <v>51</v>
      </c>
      <c r="C29" s="24" t="s">
        <v>30</v>
      </c>
      <c r="D29" s="24">
        <v>548</v>
      </c>
      <c r="E29" s="24" t="s">
        <v>45</v>
      </c>
      <c r="F29" s="24">
        <v>28</v>
      </c>
      <c r="G29" s="24">
        <v>320</v>
      </c>
      <c r="H29" s="22"/>
    </row>
    <row r="30" spans="1:8" ht="15" thickBot="1">
      <c r="A30" s="20" t="s">
        <v>22</v>
      </c>
      <c r="B30" s="21" t="s">
        <v>51</v>
      </c>
      <c r="C30" s="21" t="s">
        <v>29</v>
      </c>
      <c r="D30" s="21">
        <v>488</v>
      </c>
      <c r="E30" s="21" t="s">
        <v>44</v>
      </c>
      <c r="F30" s="21">
        <v>28</v>
      </c>
      <c r="G30" s="21">
        <v>290</v>
      </c>
      <c r="H30" s="22"/>
    </row>
    <row r="31" spans="1:8">
      <c r="A31" s="23" t="s">
        <v>22</v>
      </c>
      <c r="B31" s="24" t="s">
        <v>51</v>
      </c>
      <c r="C31" s="24" t="s">
        <v>30</v>
      </c>
      <c r="D31" s="24">
        <v>719</v>
      </c>
      <c r="E31" s="24" t="s">
        <v>46</v>
      </c>
      <c r="F31" s="24">
        <v>28</v>
      </c>
      <c r="G31" s="24">
        <v>340</v>
      </c>
      <c r="H31" s="22"/>
    </row>
    <row r="32" spans="1:8">
      <c r="H32" s="22"/>
    </row>
    <row r="33" spans="1:12">
      <c r="A33" s="25" t="s">
        <v>8</v>
      </c>
      <c r="B33" s="25" t="s">
        <v>61</v>
      </c>
      <c r="C33" s="25" t="s">
        <v>29</v>
      </c>
      <c r="D33" s="25">
        <v>19</v>
      </c>
      <c r="E33" s="25" t="s">
        <v>38</v>
      </c>
      <c r="F33" s="25">
        <v>8</v>
      </c>
      <c r="G33" s="25">
        <v>190</v>
      </c>
      <c r="H33" s="25" t="str">
        <f t="array" ref="H33">CONCATENATE(E33,"x",(MROUND(INDEX('Paslanmaz Fittings'!$A$2:$G$73,MATCH(1,('Paslanmaz Fittings'!$A$2:$A$73=Vanalar!A33)*('Paslanmaz Fittings'!$C$2:$C$73=Vanalar!C33),0),7)*(3.14),10)),"mm",)</f>
        <v>M16x80mm</v>
      </c>
      <c r="K33" s="35"/>
      <c r="L33" s="44"/>
    </row>
    <row r="34" spans="1:12">
      <c r="A34" s="26" t="s">
        <v>8</v>
      </c>
      <c r="B34" s="26" t="s">
        <v>61</v>
      </c>
      <c r="C34" s="26" t="s">
        <v>30</v>
      </c>
      <c r="D34" s="26">
        <v>17.8</v>
      </c>
      <c r="E34" s="26" t="s">
        <v>38</v>
      </c>
      <c r="F34" s="26">
        <v>8</v>
      </c>
      <c r="G34" s="26">
        <v>190</v>
      </c>
      <c r="H34" s="26" t="str">
        <f t="array" ref="H34">CONCATENATE(E34,"x",(MROUND(INDEX('Paslanmaz Fittings'!$A$2:$G$73,MATCH(1,('Paslanmaz Fittings'!$A$2:$A$73=Vanalar!A34)*('Paslanmaz Fittings'!$C$2:$C$73=Vanalar!C34),0),7)*(3.14),10)),"mm",)</f>
        <v>M16x70mm</v>
      </c>
      <c r="K34" s="35"/>
      <c r="L34" s="44"/>
    </row>
    <row r="35" spans="1:12">
      <c r="A35" s="25" t="s">
        <v>9</v>
      </c>
      <c r="B35" s="25" t="s">
        <v>61</v>
      </c>
      <c r="C35" s="25" t="s">
        <v>29</v>
      </c>
      <c r="D35" s="25">
        <v>24</v>
      </c>
      <c r="E35" s="25" t="s">
        <v>38</v>
      </c>
      <c r="F35" s="25">
        <v>8</v>
      </c>
      <c r="G35" s="25">
        <v>200</v>
      </c>
      <c r="H35" s="25" t="str">
        <f t="array" ref="H35">CONCATENATE(E35,"x",(MROUND(INDEX('Paslanmaz Fittings'!$A$2:$G$73,MATCH(1,('Paslanmaz Fittings'!$A$2:$A$73=Vanalar!A35)*('Paslanmaz Fittings'!$C$2:$C$73=Vanalar!C35),0),7)*(3.14),10)),"mm",)</f>
        <v>M16x90mm</v>
      </c>
      <c r="K35" s="35"/>
      <c r="L35" s="44"/>
    </row>
    <row r="36" spans="1:12">
      <c r="A36" s="26" t="s">
        <v>9</v>
      </c>
      <c r="B36" s="26" t="s">
        <v>61</v>
      </c>
      <c r="C36" s="26" t="s">
        <v>30</v>
      </c>
      <c r="D36" s="26">
        <v>24</v>
      </c>
      <c r="E36" s="26" t="s">
        <v>38</v>
      </c>
      <c r="F36" s="26">
        <v>8</v>
      </c>
      <c r="G36" s="26">
        <v>200</v>
      </c>
      <c r="H36" s="26" t="str">
        <f t="array" ref="H36">CONCATENATE(E36,"x",(MROUND(INDEX('Paslanmaz Fittings'!$A$2:$G$73,MATCH(1,('Paslanmaz Fittings'!$A$2:$A$73=Vanalar!A36)*('Paslanmaz Fittings'!$C$2:$C$73=Vanalar!C36),0),7)*(3.14),10)),"mm",)</f>
        <v>M16x70mm</v>
      </c>
    </row>
    <row r="37" spans="1:12">
      <c r="A37" s="25" t="s">
        <v>10</v>
      </c>
      <c r="B37" s="25" t="s">
        <v>61</v>
      </c>
      <c r="C37" s="25" t="s">
        <v>29</v>
      </c>
      <c r="D37" s="25">
        <v>30</v>
      </c>
      <c r="E37" s="25" t="s">
        <v>39</v>
      </c>
      <c r="F37" s="25">
        <v>8</v>
      </c>
      <c r="G37" s="25">
        <v>210</v>
      </c>
      <c r="H37" s="25" t="str">
        <f t="array" ref="H37">CONCATENATE(E37,"x",(MROUND(INDEX('Paslanmaz Fittings'!$A$2:$G$73,MATCH(1,('Paslanmaz Fittings'!$A$2:$A$73=Vanalar!A37)*('Paslanmaz Fittings'!$C$2:$C$73=Vanalar!C37),0),7)*(3.14),10)),"mm",)</f>
        <v>M20x90mm</v>
      </c>
      <c r="L37" s="43"/>
    </row>
    <row r="38" spans="1:12">
      <c r="A38" s="26" t="s">
        <v>10</v>
      </c>
      <c r="B38" s="26" t="s">
        <v>61</v>
      </c>
      <c r="C38" s="26" t="s">
        <v>30</v>
      </c>
      <c r="D38" s="26">
        <v>30</v>
      </c>
      <c r="E38" s="26" t="s">
        <v>39</v>
      </c>
      <c r="F38" s="26">
        <v>8</v>
      </c>
      <c r="G38" s="26">
        <v>210</v>
      </c>
      <c r="H38" s="26" t="str">
        <f t="array" ref="H38">CONCATENATE(E38,"x",(MROUND(INDEX('Paslanmaz Fittings'!$A$2:$G$73,MATCH(1,('Paslanmaz Fittings'!$A$2:$A$73=Vanalar!A38)*('Paslanmaz Fittings'!$C$2:$C$73=Vanalar!C38),0),7)*(3.14),10)),"mm",)</f>
        <v>M20x80mm</v>
      </c>
    </row>
    <row r="39" spans="1:12">
      <c r="A39" s="25" t="s">
        <v>11</v>
      </c>
      <c r="B39" s="25" t="s">
        <v>61</v>
      </c>
      <c r="C39" s="25" t="s">
        <v>29</v>
      </c>
      <c r="D39" s="25">
        <v>44</v>
      </c>
      <c r="E39" s="25" t="s">
        <v>39</v>
      </c>
      <c r="F39" s="25">
        <v>8</v>
      </c>
      <c r="G39" s="25">
        <v>230</v>
      </c>
      <c r="H39" s="25" t="str">
        <f t="array" ref="H39">CONCATENATE(E39,"x",(MROUND(INDEX('Paslanmaz Fittings'!$A$2:$G$73,MATCH(1,('Paslanmaz Fittings'!$A$2:$A$73=Vanalar!A39)*('Paslanmaz Fittings'!$C$2:$C$73=Vanalar!C39),0),7)*(3.14),10)),"mm",)</f>
        <v>M20x100mm</v>
      </c>
    </row>
    <row r="40" spans="1:12">
      <c r="A40" s="26" t="s">
        <v>11</v>
      </c>
      <c r="B40" s="26" t="s">
        <v>61</v>
      </c>
      <c r="C40" s="26" t="s">
        <v>30</v>
      </c>
      <c r="D40" s="26">
        <v>45.2</v>
      </c>
      <c r="E40" s="26" t="s">
        <v>39</v>
      </c>
      <c r="F40" s="26">
        <v>12</v>
      </c>
      <c r="G40" s="26">
        <v>230</v>
      </c>
      <c r="H40" s="26" t="str">
        <f t="array" ref="H40">CONCATENATE(E40,"x",(MROUND(INDEX('Paslanmaz Fittings'!$A$2:$G$73,MATCH(1,('Paslanmaz Fittings'!$A$2:$A$73=Vanalar!A40)*('Paslanmaz Fittings'!$C$2:$C$73=Vanalar!C40),0),7)*(3.14),10)),"mm",)</f>
        <v>M20x80mm</v>
      </c>
    </row>
    <row r="41" spans="1:12">
      <c r="A41" s="25" t="s">
        <v>12</v>
      </c>
      <c r="B41" s="25" t="s">
        <v>61</v>
      </c>
      <c r="C41" s="25" t="s">
        <v>29</v>
      </c>
      <c r="D41" s="25">
        <v>66.5</v>
      </c>
      <c r="E41" s="25" t="s">
        <v>39</v>
      </c>
      <c r="F41" s="25">
        <v>12</v>
      </c>
      <c r="G41" s="25">
        <v>250</v>
      </c>
      <c r="H41" s="25" t="str">
        <f t="array" ref="H41">CONCATENATE(E41,"x",(MROUND(INDEX('Paslanmaz Fittings'!$A$2:$G$73,MATCH(1,('Paslanmaz Fittings'!$A$2:$A$73=Vanalar!A41)*('Paslanmaz Fittings'!$C$2:$C$73=Vanalar!C41),0),7)*(3.14),10)),"mm",)</f>
        <v>M20x110mm</v>
      </c>
    </row>
    <row r="42" spans="1:12">
      <c r="A42" s="26" t="s">
        <v>12</v>
      </c>
      <c r="B42" s="26" t="s">
        <v>61</v>
      </c>
      <c r="C42" s="26" t="s">
        <v>30</v>
      </c>
      <c r="D42" s="26">
        <v>65</v>
      </c>
      <c r="E42" s="26" t="s">
        <v>41</v>
      </c>
      <c r="F42" s="26">
        <v>12</v>
      </c>
      <c r="G42" s="26">
        <v>250</v>
      </c>
      <c r="H42" s="26" t="str">
        <f t="array" ref="H42">CONCATENATE(E42,"x",(MROUND(INDEX('Paslanmaz Fittings'!$A$2:$G$73,MATCH(1,('Paslanmaz Fittings'!$A$2:$A$73=Vanalar!A42)*('Paslanmaz Fittings'!$C$2:$C$73=Vanalar!C42),0),7)*(3.14),10)),"mm",)</f>
        <v>M24x90mm</v>
      </c>
    </row>
    <row r="43" spans="1:12">
      <c r="A43" s="25" t="s">
        <v>13</v>
      </c>
      <c r="B43" s="25" t="s">
        <v>61</v>
      </c>
      <c r="C43" s="25" t="s">
        <v>29</v>
      </c>
      <c r="D43" s="25">
        <v>86</v>
      </c>
      <c r="E43" s="25" t="s">
        <v>39</v>
      </c>
      <c r="F43" s="25">
        <v>12</v>
      </c>
      <c r="G43" s="25">
        <v>270</v>
      </c>
      <c r="H43" s="25" t="str">
        <f t="array" ref="H43">CONCATENATE(E43,"x",(MROUND(INDEX('Paslanmaz Fittings'!$A$2:$G$73,MATCH(1,('Paslanmaz Fittings'!$A$2:$A$73=Vanalar!A43)*('Paslanmaz Fittings'!$C$2:$C$73=Vanalar!C43),0),7)*(3.14),10)),"mm",)</f>
        <v>M20x120mm</v>
      </c>
    </row>
    <row r="44" spans="1:12">
      <c r="A44" s="26" t="s">
        <v>13</v>
      </c>
      <c r="B44" s="26" t="s">
        <v>61</v>
      </c>
      <c r="C44" s="26" t="s">
        <v>30</v>
      </c>
      <c r="D44" s="26">
        <v>86.2</v>
      </c>
      <c r="E44" s="26" t="s">
        <v>41</v>
      </c>
      <c r="F44" s="26">
        <v>12</v>
      </c>
      <c r="G44" s="26">
        <v>270</v>
      </c>
      <c r="H44" s="26" t="str">
        <f t="array" ref="H44">CONCATENATE(E44,"x",(MROUND(INDEX('Paslanmaz Fittings'!$A$2:$G$73,MATCH(1,('Paslanmaz Fittings'!$A$2:$A$73=Vanalar!A44)*('Paslanmaz Fittings'!$C$2:$C$73=Vanalar!C44),0),7)*(3.14),10)),"mm",)</f>
        <v>M24x100mm</v>
      </c>
    </row>
    <row r="45" spans="1:12">
      <c r="A45" s="25" t="s">
        <v>14</v>
      </c>
      <c r="B45" s="25" t="s">
        <v>61</v>
      </c>
      <c r="C45" s="25" t="s">
        <v>29</v>
      </c>
      <c r="D45" s="25">
        <v>139</v>
      </c>
      <c r="E45" s="25" t="s">
        <v>39</v>
      </c>
      <c r="F45" s="25">
        <v>16</v>
      </c>
      <c r="G45" s="25">
        <v>290</v>
      </c>
      <c r="H45" s="25" t="str">
        <f t="array" ref="H45">CONCATENATE(E45,"x",(MROUND(INDEX('Paslanmaz Fittings'!$A$2:$G$73,MATCH(1,('Paslanmaz Fittings'!$A$2:$A$73=Vanalar!A45)*('Paslanmaz Fittings'!$C$2:$C$73=Vanalar!C45),0),7)*(3.14),10)),"mm",)</f>
        <v>M20x130mm</v>
      </c>
    </row>
    <row r="46" spans="1:12">
      <c r="A46" s="26" t="s">
        <v>14</v>
      </c>
      <c r="B46" s="26" t="s">
        <v>61</v>
      </c>
      <c r="C46" s="26" t="s">
        <v>30</v>
      </c>
      <c r="D46" s="26">
        <v>146</v>
      </c>
      <c r="E46" s="26" t="s">
        <v>41</v>
      </c>
      <c r="F46" s="26">
        <v>16</v>
      </c>
      <c r="G46" s="26">
        <v>290</v>
      </c>
      <c r="H46" s="26" t="str">
        <f t="array" ref="H46">CONCATENATE(E46,"x",(MROUND(INDEX('Paslanmaz Fittings'!$A$2:$G$73,MATCH(1,('Paslanmaz Fittings'!$A$2:$A$73=Vanalar!A46)*('Paslanmaz Fittings'!$C$2:$C$73=Vanalar!C46),0),7)*(3.14),10)),"mm",)</f>
        <v>M24x110mm</v>
      </c>
      <c r="L46" s="43"/>
    </row>
    <row r="47" spans="1:12">
      <c r="A47" s="25" t="s">
        <v>15</v>
      </c>
      <c r="B47" s="25" t="s">
        <v>61</v>
      </c>
      <c r="C47" s="25" t="s">
        <v>29</v>
      </c>
      <c r="D47" s="25">
        <v>159</v>
      </c>
      <c r="E47" s="25" t="s">
        <v>42</v>
      </c>
      <c r="F47" s="25">
        <v>16</v>
      </c>
      <c r="G47" s="25">
        <v>310</v>
      </c>
      <c r="H47" s="25" t="str">
        <f t="array" ref="H47">CONCATENATE(E47,"x",(MROUND(INDEX('Paslanmaz Fittings'!$A$2:$G$73,MATCH(1,('Paslanmaz Fittings'!$A$2:$A$73=Vanalar!A47)*('Paslanmaz Fittings'!$C$2:$C$73=Vanalar!C47),0),7)*(3.14),10)),"mm",)</f>
        <v>M27x140mm</v>
      </c>
    </row>
    <row r="48" spans="1:12">
      <c r="A48" s="26" t="s">
        <v>15</v>
      </c>
      <c r="B48" s="26" t="s">
        <v>61</v>
      </c>
      <c r="C48" s="26" t="s">
        <v>30</v>
      </c>
      <c r="D48" s="26">
        <v>174</v>
      </c>
      <c r="E48" s="26" t="s">
        <v>42</v>
      </c>
      <c r="F48" s="26">
        <v>16</v>
      </c>
      <c r="G48" s="26">
        <v>310</v>
      </c>
      <c r="H48" s="26" t="str">
        <f t="array" ref="H48">CONCATENATE(E48,"x",(MROUND(INDEX('Paslanmaz Fittings'!$A$2:$G$73,MATCH(1,('Paslanmaz Fittings'!$A$2:$A$73=Vanalar!A48)*('Paslanmaz Fittings'!$C$2:$C$73=Vanalar!C48),0),7)*(3.14),10)),"mm",)</f>
        <v>M27x120mm</v>
      </c>
      <c r="L48" s="43"/>
    </row>
    <row r="49" spans="1:8">
      <c r="A49" s="25" t="s">
        <v>16</v>
      </c>
      <c r="B49" s="25" t="s">
        <v>61</v>
      </c>
      <c r="C49" s="25" t="s">
        <v>29</v>
      </c>
      <c r="D49" s="25">
        <v>218</v>
      </c>
      <c r="E49" s="25" t="s">
        <v>42</v>
      </c>
      <c r="F49" s="25">
        <v>20</v>
      </c>
      <c r="G49" s="25">
        <v>330</v>
      </c>
      <c r="H49" s="25" t="str">
        <f t="array" ref="H49">CONCATENATE(E49,"x",(MROUND(INDEX('Paslanmaz Fittings'!$A$2:$G$73,MATCH(1,('Paslanmaz Fittings'!$A$2:$A$73=Vanalar!A49)*('Paslanmaz Fittings'!$C$2:$C$73=Vanalar!C49),0),7)*(3.14),10)),"mm",)</f>
        <v>M27x160mm</v>
      </c>
    </row>
    <row r="50" spans="1:8">
      <c r="A50" s="26" t="s">
        <v>16</v>
      </c>
      <c r="B50" s="26" t="s">
        <v>61</v>
      </c>
      <c r="C50" s="26" t="s">
        <v>30</v>
      </c>
      <c r="D50" s="26">
        <v>230</v>
      </c>
      <c r="E50" s="26" t="s">
        <v>42</v>
      </c>
      <c r="F50" s="26">
        <v>20</v>
      </c>
      <c r="G50" s="26">
        <v>330</v>
      </c>
      <c r="H50" s="26" t="str">
        <f t="array" ref="H50">CONCATENATE(E50,"x",(MROUND(INDEX('Paslanmaz Fittings'!$A$2:$G$73,MATCH(1,('Paslanmaz Fittings'!$A$2:$A$73=Vanalar!A50)*('Paslanmaz Fittings'!$C$2:$C$73=Vanalar!C50),0),7)*(3.14),10)),"mm",)</f>
        <v>M27x130mm</v>
      </c>
    </row>
    <row r="51" spans="1:8">
      <c r="A51" s="25" t="s">
        <v>17</v>
      </c>
      <c r="B51" s="25" t="s">
        <v>61</v>
      </c>
      <c r="C51" s="25" t="s">
        <v>29</v>
      </c>
      <c r="D51" s="25">
        <v>253</v>
      </c>
      <c r="E51" s="25" t="s">
        <v>42</v>
      </c>
      <c r="F51" s="25">
        <v>20</v>
      </c>
      <c r="G51" s="25">
        <v>350</v>
      </c>
      <c r="H51" s="25" t="str">
        <f t="array" ref="H51">CONCATENATE(E51,"x",(MROUND(INDEX('Paslanmaz Fittings'!$A$2:$G$73,MATCH(1,('Paslanmaz Fittings'!$A$2:$A$73=Vanalar!A51)*('Paslanmaz Fittings'!$C$2:$C$73=Vanalar!C51),0),7)*(3.14),10)),"mm",)</f>
        <v>M27x180mm</v>
      </c>
    </row>
    <row r="52" spans="1:8">
      <c r="A52" s="26" t="s">
        <v>17</v>
      </c>
      <c r="B52" s="26" t="s">
        <v>61</v>
      </c>
      <c r="C52" s="26" t="s">
        <v>30</v>
      </c>
      <c r="D52" s="26">
        <v>295</v>
      </c>
      <c r="E52" s="26" t="s">
        <v>43</v>
      </c>
      <c r="F52" s="26">
        <v>20</v>
      </c>
      <c r="G52" s="26">
        <v>350</v>
      </c>
      <c r="H52" s="26" t="str">
        <f t="array" ref="H52">CONCATENATE(E52,"x",(MROUND(INDEX('Paslanmaz Fittings'!$A$2:$G$73,MATCH(1,('Paslanmaz Fittings'!$A$2:$A$73=Vanalar!A52)*('Paslanmaz Fittings'!$C$2:$C$73=Vanalar!C52),0),7)*(3.14),10)),"mm",)</f>
        <v>M30x140mm</v>
      </c>
    </row>
    <row r="53" spans="1:8">
      <c r="A53" s="25" t="s">
        <v>18</v>
      </c>
      <c r="B53" s="25" t="s">
        <v>61</v>
      </c>
      <c r="C53" s="25" t="s">
        <v>29</v>
      </c>
      <c r="D53" s="25">
        <v>345</v>
      </c>
      <c r="E53" s="25" t="s">
        <v>43</v>
      </c>
      <c r="F53" s="25">
        <v>20</v>
      </c>
      <c r="G53" s="25">
        <v>390</v>
      </c>
      <c r="H53" s="25" t="str">
        <f t="array" ref="H53">CONCATENATE(E53,"x",(MROUND(INDEX('Paslanmaz Fittings'!$A$2:$G$73,MATCH(1,('Paslanmaz Fittings'!$A$2:$A$73=Vanalar!A53)*('Paslanmaz Fittings'!$C$2:$C$73=Vanalar!C53),0),7)*(3.14),10)),"mm",)</f>
        <v>M30x210mm</v>
      </c>
    </row>
    <row r="54" spans="1:8">
      <c r="A54" s="26" t="s">
        <v>18</v>
      </c>
      <c r="B54" s="26" t="s">
        <v>61</v>
      </c>
      <c r="C54" s="26" t="s">
        <v>30</v>
      </c>
      <c r="D54" s="26">
        <v>413</v>
      </c>
      <c r="E54" s="26" t="s">
        <v>44</v>
      </c>
      <c r="F54" s="26">
        <v>20</v>
      </c>
      <c r="G54" s="26">
        <v>390</v>
      </c>
      <c r="H54" s="26" t="str">
        <f t="array" ref="H54">CONCATENATE(E54,"x",(MROUND(INDEX('Paslanmaz Fittings'!$A$2:$G$73,MATCH(1,('Paslanmaz Fittings'!$A$2:$A$73=Vanalar!A54)*('Paslanmaz Fittings'!$C$2:$C$73=Vanalar!C54),0),7)*(3.14),10)),"mm",)</f>
        <v>M33x160mm</v>
      </c>
    </row>
    <row r="55" spans="1:8">
      <c r="A55" s="25" t="s">
        <v>19</v>
      </c>
      <c r="B55" s="25" t="s">
        <v>61</v>
      </c>
      <c r="C55" s="25" t="s">
        <v>29</v>
      </c>
      <c r="D55" s="25">
        <v>559</v>
      </c>
      <c r="E55" s="25" t="s">
        <v>43</v>
      </c>
      <c r="F55" s="25">
        <v>24</v>
      </c>
      <c r="G55" s="25">
        <v>430</v>
      </c>
      <c r="H55" s="25" t="str">
        <f t="array" ref="H55">CONCATENATE(E55,"x",(MROUND(INDEX('Paslanmaz Fittings'!$A$2:$G$73,MATCH(1,('Paslanmaz Fittings'!$A$2:$A$73=Vanalar!A55)*('Paslanmaz Fittings'!$C$2:$C$73=Vanalar!C55),0),7)*(3.14),10)),"mm",)</f>
        <v>M30x270mm</v>
      </c>
    </row>
    <row r="56" spans="1:8">
      <c r="A56" s="26" t="s">
        <v>19</v>
      </c>
      <c r="B56" s="26" t="s">
        <v>61</v>
      </c>
      <c r="C56" s="26" t="s">
        <v>30</v>
      </c>
      <c r="D56" s="26">
        <v>570</v>
      </c>
      <c r="E56" s="26" t="s">
        <v>44</v>
      </c>
      <c r="F56" s="26">
        <v>24</v>
      </c>
      <c r="G56" s="26">
        <v>430</v>
      </c>
      <c r="H56" s="26" t="str">
        <f t="array" ref="H56">CONCATENATE(E56,"x",(MROUND(INDEX('Paslanmaz Fittings'!$A$2:$G$73,MATCH(1,('Paslanmaz Fittings'!$A$2:$A$73=Vanalar!A56)*('Paslanmaz Fittings'!$C$2:$C$73=Vanalar!C56),0),7)*(3.14),10)),"mm",)</f>
        <v>M33x200mm</v>
      </c>
    </row>
    <row r="57" spans="1:8">
      <c r="A57" s="25" t="s">
        <v>20</v>
      </c>
      <c r="B57" s="25" t="s">
        <v>61</v>
      </c>
      <c r="C57" s="25" t="s">
        <v>29</v>
      </c>
      <c r="D57" s="25">
        <v>725</v>
      </c>
      <c r="E57" s="25" t="s">
        <v>44</v>
      </c>
      <c r="F57" s="25">
        <v>24</v>
      </c>
      <c r="G57" s="25">
        <v>470</v>
      </c>
      <c r="H57" s="25" t="str">
        <f t="array" ref="H57">CONCATENATE(E57,"x",(MROUND(INDEX('Paslanmaz Fittings'!$A$2:$G$73,MATCH(1,('Paslanmaz Fittings'!$A$2:$A$73=Vanalar!A57)*('Paslanmaz Fittings'!$C$2:$C$73=Vanalar!C57),0),7)*(3.14),10)),"mm",)</f>
        <v>M33x300mm</v>
      </c>
    </row>
    <row r="58" spans="1:8">
      <c r="A58" s="26" t="s">
        <v>20</v>
      </c>
      <c r="B58" s="26" t="s">
        <v>61</v>
      </c>
      <c r="C58" s="26" t="s">
        <v>30</v>
      </c>
      <c r="D58" s="26">
        <v>775</v>
      </c>
      <c r="E58" s="26" t="s">
        <v>45</v>
      </c>
      <c r="F58" s="26">
        <v>24</v>
      </c>
      <c r="G58" s="26">
        <v>470</v>
      </c>
      <c r="H58" s="26" t="str">
        <f t="array" ref="H58">CONCATENATE(E58,"x",(MROUND(INDEX('Paslanmaz Fittings'!$A$2:$G$73,MATCH(1,('Paslanmaz Fittings'!$A$2:$A$73=Vanalar!A58)*('Paslanmaz Fittings'!$C$2:$C$73=Vanalar!C58),0),7)*(3.14),10)),"mm",)</f>
        <v>M36x230mm</v>
      </c>
    </row>
    <row r="59" spans="1:8">
      <c r="A59" s="25" t="s">
        <v>21</v>
      </c>
      <c r="B59" s="25" t="s">
        <v>61</v>
      </c>
      <c r="C59" s="25" t="s">
        <v>29</v>
      </c>
      <c r="D59" s="25">
        <v>896</v>
      </c>
      <c r="E59" s="25" t="s">
        <v>44</v>
      </c>
      <c r="F59" s="25">
        <v>28</v>
      </c>
      <c r="G59" s="25">
        <v>510</v>
      </c>
      <c r="H59" s="25" t="str">
        <f t="array" ref="H59">CONCATENATE(E59,"x",(MROUND(INDEX('Paslanmaz Fittings'!$A$2:$G$73,MATCH(1,('Paslanmaz Fittings'!$A$2:$A$73=Vanalar!A59)*('Paslanmaz Fittings'!$C$2:$C$73=Vanalar!C59),0),7)*(3.14),10)),"mm",)</f>
        <v>M33x190mm</v>
      </c>
    </row>
    <row r="60" spans="1:8">
      <c r="A60" s="26" t="s">
        <v>21</v>
      </c>
      <c r="B60" s="26" t="s">
        <v>61</v>
      </c>
      <c r="C60" s="26" t="s">
        <v>30</v>
      </c>
      <c r="D60" s="26">
        <v>940</v>
      </c>
      <c r="E60" s="26" t="s">
        <v>45</v>
      </c>
      <c r="F60" s="26">
        <v>28</v>
      </c>
      <c r="G60" s="26">
        <v>510</v>
      </c>
      <c r="H60" s="26" t="str">
        <f t="array" ref="H60">CONCATENATE(E60,"x",(MROUND(INDEX('Paslanmaz Fittings'!$A$2:$G$73,MATCH(1,('Paslanmaz Fittings'!$A$2:$A$73=Vanalar!A60)*('Paslanmaz Fittings'!$C$2:$C$73=Vanalar!C60),0),7)*(3.14),10)),"mm",)</f>
        <v>M36x260mm</v>
      </c>
    </row>
    <row r="61" spans="1:8">
      <c r="A61" s="25" t="s">
        <v>22</v>
      </c>
      <c r="B61" s="25" t="s">
        <v>61</v>
      </c>
      <c r="C61" s="25" t="s">
        <v>29</v>
      </c>
      <c r="D61" s="25">
        <v>1140</v>
      </c>
      <c r="E61" s="25" t="s">
        <v>45</v>
      </c>
      <c r="F61" s="25">
        <v>28</v>
      </c>
      <c r="G61" s="25">
        <v>550</v>
      </c>
      <c r="H61" s="25" t="str">
        <f t="array" ref="H61">CONCATENATE(E61,"x",(MROUND(INDEX('Paslanmaz Fittings'!$A$2:$G$73,MATCH(1,('Paslanmaz Fittings'!$A$2:$A$73=Vanalar!A61)*('Paslanmaz Fittings'!$C$2:$C$73=Vanalar!C61),0),7)*(3.14),10)),"mm",)</f>
        <v>M36x230mm</v>
      </c>
    </row>
    <row r="62" spans="1:8">
      <c r="A62" s="26" t="s">
        <v>22</v>
      </c>
      <c r="B62" s="26" t="s">
        <v>61</v>
      </c>
      <c r="C62" s="26" t="s">
        <v>30</v>
      </c>
      <c r="D62" s="26">
        <v>1200</v>
      </c>
      <c r="E62" s="26" t="s">
        <v>46</v>
      </c>
      <c r="F62" s="26">
        <v>28</v>
      </c>
      <c r="G62" s="26">
        <v>550</v>
      </c>
      <c r="H62" s="26" t="str">
        <f t="array" ref="H62">CONCATENATE(E62,"x",(MROUND(INDEX('Paslanmaz Fittings'!$A$2:$G$73,MATCH(1,('Paslanmaz Fittings'!$A$2:$A$73=Vanalar!A62)*('Paslanmaz Fittings'!$C$2:$C$73=Vanalar!C62),0),7)*(3.14),10)),"mm",)</f>
        <v>M39x280mm</v>
      </c>
    </row>
    <row r="63" spans="1:8">
      <c r="G63" s="19"/>
      <c r="H63" s="25"/>
    </row>
    <row r="64" spans="1:8">
      <c r="A64" s="25" t="s">
        <v>5</v>
      </c>
      <c r="B64" s="25" t="s">
        <v>62</v>
      </c>
      <c r="C64" s="25" t="s">
        <v>30</v>
      </c>
      <c r="D64" s="25"/>
      <c r="E64" s="25" t="s">
        <v>38</v>
      </c>
      <c r="F64" s="25">
        <v>4</v>
      </c>
      <c r="G64" s="25">
        <v>200</v>
      </c>
      <c r="H64" s="26" t="str">
        <f t="array" ref="H64">CONCATENATE(E64,"x",(MROUND(INDEX('Paslanmaz Fittings'!$A$2:$G$73,MATCH(1,('Paslanmaz Fittings'!$A$2:$A$73=Vanalar!A64)*('Paslanmaz Fittings'!$C$2:$C$73=Vanalar!C64),0),7)*(3.14),10)),"mm",)</f>
        <v>M16x60mm</v>
      </c>
    </row>
    <row r="65" spans="1:12">
      <c r="A65" s="26" t="s">
        <v>6</v>
      </c>
      <c r="B65" s="26" t="s">
        <v>62</v>
      </c>
      <c r="C65" s="26" t="s">
        <v>30</v>
      </c>
      <c r="D65" s="26"/>
      <c r="E65" s="26" t="s">
        <v>38</v>
      </c>
      <c r="F65" s="26">
        <v>4</v>
      </c>
      <c r="G65" s="26">
        <v>240</v>
      </c>
      <c r="H65" s="25" t="str">
        <f t="array" ref="H65">CONCATENATE(E65,"x",(MROUND(INDEX('Paslanmaz Fittings'!$A$2:$G$73,MATCH(1,('Paslanmaz Fittings'!$A$2:$A$73=Vanalar!A65)*('Paslanmaz Fittings'!$C$2:$C$73=Vanalar!C65),0),7)*(3.14),10)),"mm",)</f>
        <v>M16x60mm</v>
      </c>
    </row>
    <row r="66" spans="1:12">
      <c r="A66" s="25" t="s">
        <v>7</v>
      </c>
      <c r="B66" s="25" t="s">
        <v>62</v>
      </c>
      <c r="C66" s="25" t="s">
        <v>30</v>
      </c>
      <c r="D66" s="25"/>
      <c r="E66" s="25" t="s">
        <v>38</v>
      </c>
      <c r="F66" s="25">
        <v>8</v>
      </c>
      <c r="G66" s="25">
        <v>260</v>
      </c>
      <c r="H66" s="26" t="str">
        <f t="array" ref="H66">CONCATENATE(E66,"x",(MROUND(INDEX('Paslanmaz Fittings'!$A$2:$G$73,MATCH(1,('Paslanmaz Fittings'!$A$2:$A$73=Vanalar!A66)*('Paslanmaz Fittings'!$C$2:$C$73=Vanalar!C66),0),7)*(3.14),10)),"mm",)</f>
        <v>M16x60mm</v>
      </c>
    </row>
    <row r="67" spans="1:12">
      <c r="A67" s="26" t="s">
        <v>8</v>
      </c>
      <c r="B67" s="26" t="s">
        <v>62</v>
      </c>
      <c r="C67" s="26" t="s">
        <v>30</v>
      </c>
      <c r="D67" s="26"/>
      <c r="E67" s="26" t="s">
        <v>38</v>
      </c>
      <c r="F67" s="26">
        <v>8</v>
      </c>
      <c r="G67" s="26">
        <v>300</v>
      </c>
      <c r="H67" s="25" t="str">
        <f t="array" ref="H67">CONCATENATE(E67,"x",(MROUND(INDEX('Paslanmaz Fittings'!$A$2:$G$73,MATCH(1,('Paslanmaz Fittings'!$A$2:$A$73=Vanalar!A67)*('Paslanmaz Fittings'!$C$2:$C$73=Vanalar!C67),0),7)*(3.14),10)),"mm",)</f>
        <v>M16x70mm</v>
      </c>
    </row>
    <row r="68" spans="1:12">
      <c r="A68" s="25" t="s">
        <v>9</v>
      </c>
      <c r="B68" s="25" t="s">
        <v>62</v>
      </c>
      <c r="C68" s="25" t="s">
        <v>30</v>
      </c>
      <c r="D68" s="25"/>
      <c r="E68" s="25" t="s">
        <v>38</v>
      </c>
      <c r="F68" s="25">
        <v>8</v>
      </c>
      <c r="G68" s="25">
        <v>350</v>
      </c>
      <c r="H68" s="26" t="str">
        <f t="array" ref="H68">CONCATENATE(E68,"x",(MROUND(INDEX('Paslanmaz Fittings'!$A$2:$G$73,MATCH(1,('Paslanmaz Fittings'!$A$2:$A$73=Vanalar!A68)*('Paslanmaz Fittings'!$C$2:$C$73=Vanalar!C68),0),7)*(3.14),10)),"mm",)</f>
        <v>M16x70mm</v>
      </c>
    </row>
    <row r="69" spans="1:12">
      <c r="A69" s="26" t="s">
        <v>10</v>
      </c>
      <c r="B69" s="26" t="s">
        <v>62</v>
      </c>
      <c r="C69" s="26" t="s">
        <v>30</v>
      </c>
      <c r="D69" s="26"/>
      <c r="E69" s="26" t="s">
        <v>38</v>
      </c>
      <c r="F69" s="26">
        <v>8</v>
      </c>
      <c r="G69" s="26">
        <v>400</v>
      </c>
      <c r="H69" s="25" t="str">
        <f t="array" ref="H69">CONCATENATE(E69,"x",(MROUND(INDEX('Paslanmaz Fittings'!$A$2:$G$73,MATCH(1,('Paslanmaz Fittings'!$A$2:$A$73=Vanalar!A69)*('Paslanmaz Fittings'!$C$2:$C$73=Vanalar!C69),0),7)*(3.14),10)),"mm",)</f>
        <v>M16x80mm</v>
      </c>
      <c r="L69"/>
    </row>
    <row r="70" spans="1:12">
      <c r="A70" s="25" t="s">
        <v>11</v>
      </c>
      <c r="B70" s="25" t="s">
        <v>62</v>
      </c>
      <c r="C70" s="25" t="s">
        <v>30</v>
      </c>
      <c r="D70" s="25"/>
      <c r="E70" s="25" t="s">
        <v>39</v>
      </c>
      <c r="F70" s="25">
        <v>12</v>
      </c>
      <c r="G70" s="25">
        <v>500</v>
      </c>
      <c r="H70" s="26" t="str">
        <f t="array" ref="H70">CONCATENATE(E70,"x",(MROUND(INDEX('Paslanmaz Fittings'!$A$2:$G$73,MATCH(1,('Paslanmaz Fittings'!$A$2:$A$73=Vanalar!A70)*('Paslanmaz Fittings'!$C$2:$C$73=Vanalar!C70),0),7)*(3.14),10)),"mm",)</f>
        <v>M20x80mm</v>
      </c>
      <c r="L70"/>
    </row>
    <row r="71" spans="1:12">
      <c r="A71" s="26" t="s">
        <v>12</v>
      </c>
      <c r="B71" s="26" t="s">
        <v>62</v>
      </c>
      <c r="C71" s="26" t="s">
        <v>30</v>
      </c>
      <c r="D71" s="26"/>
      <c r="E71" s="26" t="s">
        <v>41</v>
      </c>
      <c r="F71" s="26">
        <v>12</v>
      </c>
      <c r="G71" s="26">
        <v>600</v>
      </c>
      <c r="H71" s="25" t="str">
        <f t="array" ref="H71">CONCATENATE(E71,"x",(MROUND(INDEX('Paslanmaz Fittings'!$A$2:$G$73,MATCH(1,('Paslanmaz Fittings'!$A$2:$A$73=Vanalar!A71)*('Paslanmaz Fittings'!$C$2:$C$73=Vanalar!C71),0),7)*(3.14),10)),"mm",)</f>
        <v>M24x90mm</v>
      </c>
      <c r="L71"/>
    </row>
    <row r="72" spans="1:12">
      <c r="A72" s="25" t="s">
        <v>13</v>
      </c>
      <c r="B72" s="25" t="s">
        <v>62</v>
      </c>
      <c r="C72" s="25" t="s">
        <v>30</v>
      </c>
      <c r="D72" s="25"/>
      <c r="E72" s="25" t="s">
        <v>41</v>
      </c>
      <c r="F72" s="25">
        <v>12</v>
      </c>
      <c r="G72" s="25">
        <v>700</v>
      </c>
      <c r="H72" s="26" t="str">
        <f t="array" ref="H72">CONCATENATE(E72,"x",(MROUND(INDEX('Paslanmaz Fittings'!$A$2:$G$73,MATCH(1,('Paslanmaz Fittings'!$A$2:$A$73=Vanalar!A72)*('Paslanmaz Fittings'!$C$2:$C$73=Vanalar!C72),0),7)*(3.14),10)),"mm",)</f>
        <v>M24x100mm</v>
      </c>
      <c r="L72"/>
    </row>
    <row r="73" spans="1:12">
      <c r="G73" s="19"/>
      <c r="H73" s="25"/>
      <c r="L73"/>
    </row>
    <row r="74" spans="1:12">
      <c r="A74" s="25" t="s">
        <v>4</v>
      </c>
      <c r="B74" s="27" t="s">
        <v>59</v>
      </c>
      <c r="C74" s="27" t="s">
        <v>28</v>
      </c>
      <c r="D74" s="27">
        <v>2</v>
      </c>
      <c r="E74" s="27" t="s">
        <v>37</v>
      </c>
      <c r="F74" s="27">
        <v>4</v>
      </c>
      <c r="G74" s="27">
        <v>33</v>
      </c>
      <c r="H74" s="26" t="str">
        <f t="array" ref="H74">CONCATENATE(E74,"x",(MROUND(INDEX('Paslanmaz Fittings'!$A$2:$G$73,MATCH(1,('Paslanmaz Fittings'!$A$2:$A$73=Vanalar!A74)*('Paslanmaz Fittings'!$C$2:$C$73=Vanalar!C74),0),7)*(3.14),10)),"mm",)</f>
        <v>M12x50mm</v>
      </c>
      <c r="L74"/>
    </row>
    <row r="75" spans="1:12">
      <c r="A75" s="26" t="s">
        <v>4</v>
      </c>
      <c r="B75" s="28" t="s">
        <v>59</v>
      </c>
      <c r="C75" s="28" t="s">
        <v>29</v>
      </c>
      <c r="D75" s="28">
        <v>2</v>
      </c>
      <c r="E75" s="28" t="s">
        <v>38</v>
      </c>
      <c r="F75" s="28">
        <v>4</v>
      </c>
      <c r="G75" s="28">
        <v>33</v>
      </c>
      <c r="H75" s="25" t="str">
        <f t="array" ref="H75">CONCATENATE(E75,"x",(MROUND(INDEX('Paslanmaz Fittings'!$A$2:$G$73,MATCH(1,('Paslanmaz Fittings'!$A$2:$A$73=Vanalar!A75)*('Paslanmaz Fittings'!$C$2:$C$73=Vanalar!C75),0),7)*(3.14),10)),"mm",)</f>
        <v>M16x60mm</v>
      </c>
      <c r="L75"/>
    </row>
    <row r="76" spans="1:12">
      <c r="A76" s="29" t="s">
        <v>4</v>
      </c>
      <c r="B76" s="29" t="s">
        <v>59</v>
      </c>
      <c r="C76" s="29" t="s">
        <v>30</v>
      </c>
      <c r="D76" s="29">
        <v>2</v>
      </c>
      <c r="E76" s="29" t="s">
        <v>38</v>
      </c>
      <c r="F76" s="29">
        <v>4</v>
      </c>
      <c r="G76" s="29">
        <v>33</v>
      </c>
      <c r="H76" s="26" t="str">
        <f t="array" ref="H76">CONCATENATE(E76,"x",(MROUND(INDEX('Paslanmaz Fittings'!$A$2:$G$73,MATCH(1,('Paslanmaz Fittings'!$A$2:$A$73=Vanalar!A76)*('Paslanmaz Fittings'!$C$2:$C$73=Vanalar!C76),0),7)*(3.14),10)),"mm",)</f>
        <v>M16x60mm</v>
      </c>
      <c r="L76"/>
    </row>
    <row r="77" spans="1:12">
      <c r="A77" s="28" t="s">
        <v>5</v>
      </c>
      <c r="B77" s="28" t="s">
        <v>59</v>
      </c>
      <c r="C77" s="28" t="s">
        <v>28</v>
      </c>
      <c r="D77" s="28">
        <v>2.6</v>
      </c>
      <c r="E77" s="28" t="s">
        <v>37</v>
      </c>
      <c r="F77" s="28">
        <v>4</v>
      </c>
      <c r="G77" s="28">
        <v>43</v>
      </c>
      <c r="H77" s="25" t="str">
        <f t="array" ref="H77">CONCATENATE(E77,"x",(MROUND(INDEX('Paslanmaz Fittings'!$A$2:$G$73,MATCH(1,('Paslanmaz Fittings'!$A$2:$A$73=Vanalar!A77)*('Paslanmaz Fittings'!$C$2:$C$73=Vanalar!C77),0),7)*(3.14),10)),"mm",)</f>
        <v>M12x50mm</v>
      </c>
      <c r="L77"/>
    </row>
    <row r="78" spans="1:12">
      <c r="A78" s="29" t="s">
        <v>5</v>
      </c>
      <c r="B78" s="29" t="s">
        <v>59</v>
      </c>
      <c r="C78" s="29" t="s">
        <v>29</v>
      </c>
      <c r="D78" s="29">
        <v>2.6</v>
      </c>
      <c r="E78" s="29" t="s">
        <v>38</v>
      </c>
      <c r="F78" s="29">
        <v>4</v>
      </c>
      <c r="G78" s="29">
        <v>43</v>
      </c>
      <c r="H78" s="26" t="str">
        <f t="array" ref="H78">CONCATENATE(E78,"x",(MROUND(INDEX('Paslanmaz Fittings'!$A$2:$G$73,MATCH(1,('Paslanmaz Fittings'!$A$2:$A$73=Vanalar!A78)*('Paslanmaz Fittings'!$C$2:$C$73=Vanalar!C78),0),7)*(3.14),10)),"mm",)</f>
        <v>M16x60mm</v>
      </c>
      <c r="L78"/>
    </row>
    <row r="79" spans="1:12">
      <c r="A79" s="28" t="s">
        <v>5</v>
      </c>
      <c r="B79" s="28" t="s">
        <v>59</v>
      </c>
      <c r="C79" s="28" t="s">
        <v>30</v>
      </c>
      <c r="D79" s="28">
        <v>2.6</v>
      </c>
      <c r="E79" s="28" t="s">
        <v>38</v>
      </c>
      <c r="F79" s="28">
        <v>4</v>
      </c>
      <c r="G79" s="28">
        <v>43</v>
      </c>
      <c r="H79" s="25" t="str">
        <f t="array" ref="H79">CONCATENATE(E79,"x",(MROUND(INDEX('Paslanmaz Fittings'!$A$2:$G$73,MATCH(1,('Paslanmaz Fittings'!$A$2:$A$73=Vanalar!A79)*('Paslanmaz Fittings'!$C$2:$C$73=Vanalar!C79),0),7)*(3.14),10)),"mm",)</f>
        <v>M16x60mm</v>
      </c>
      <c r="L79"/>
    </row>
    <row r="80" spans="1:12">
      <c r="A80" s="29" t="s">
        <v>6</v>
      </c>
      <c r="B80" s="29" t="s">
        <v>59</v>
      </c>
      <c r="C80" s="29" t="s">
        <v>28</v>
      </c>
      <c r="D80" s="29">
        <v>3.2</v>
      </c>
      <c r="E80" s="29" t="s">
        <v>37</v>
      </c>
      <c r="F80" s="29">
        <v>4</v>
      </c>
      <c r="G80" s="29">
        <v>46</v>
      </c>
      <c r="H80" s="26" t="str">
        <f t="array" ref="H80">CONCATENATE(E80,"x",(MROUND(INDEX('Paslanmaz Fittings'!$A$2:$G$73,MATCH(1,('Paslanmaz Fittings'!$A$2:$A$73=Vanalar!A80)*('Paslanmaz Fittings'!$C$2:$C$73=Vanalar!C80),0),7)*(3.14),10)),"mm",)</f>
        <v>M12x50mm</v>
      </c>
      <c r="L80"/>
    </row>
    <row r="81" spans="1:12">
      <c r="A81" s="28" t="s">
        <v>6</v>
      </c>
      <c r="B81" s="28" t="s">
        <v>59</v>
      </c>
      <c r="C81" s="28" t="s">
        <v>29</v>
      </c>
      <c r="D81" s="28">
        <v>3.2</v>
      </c>
      <c r="E81" s="28" t="s">
        <v>38</v>
      </c>
      <c r="F81" s="28">
        <v>4</v>
      </c>
      <c r="G81" s="28">
        <v>46</v>
      </c>
      <c r="H81" s="25" t="str">
        <f t="array" ref="H81">CONCATENATE(E81,"x",(MROUND(INDEX('Paslanmaz Fittings'!$A$2:$G$73,MATCH(1,('Paslanmaz Fittings'!$A$2:$A$73=Vanalar!A81)*('Paslanmaz Fittings'!$C$2:$C$73=Vanalar!C81),0),7)*(3.14),10)),"mm",)</f>
        <v>M16x70mm</v>
      </c>
      <c r="L81"/>
    </row>
    <row r="82" spans="1:12">
      <c r="A82" s="29" t="s">
        <v>6</v>
      </c>
      <c r="B82" s="29" t="s">
        <v>59</v>
      </c>
      <c r="C82" s="29" t="s">
        <v>30</v>
      </c>
      <c r="D82" s="29">
        <v>3.2</v>
      </c>
      <c r="E82" s="29" t="s">
        <v>38</v>
      </c>
      <c r="F82" s="29">
        <v>4</v>
      </c>
      <c r="G82" s="29">
        <v>46</v>
      </c>
      <c r="H82" s="26" t="str">
        <f t="array" ref="H82">CONCATENATE(E82,"x",(MROUND(INDEX('Paslanmaz Fittings'!$A$2:$G$73,MATCH(1,('Paslanmaz Fittings'!$A$2:$A$73=Vanalar!A82)*('Paslanmaz Fittings'!$C$2:$C$73=Vanalar!C82),0),7)*(3.14),10)),"mm",)</f>
        <v>M16x60mm</v>
      </c>
      <c r="L82"/>
    </row>
    <row r="83" spans="1:12">
      <c r="A83" s="28" t="s">
        <v>7</v>
      </c>
      <c r="B83" s="28" t="s">
        <v>59</v>
      </c>
      <c r="C83" s="28" t="s">
        <v>28</v>
      </c>
      <c r="D83" s="28">
        <v>3.7</v>
      </c>
      <c r="E83" s="28" t="s">
        <v>38</v>
      </c>
      <c r="F83" s="28">
        <v>4</v>
      </c>
      <c r="G83" s="28">
        <v>46</v>
      </c>
      <c r="H83" s="25" t="str">
        <f t="array" ref="H83">CONCATENATE(E83,"x",(MROUND(INDEX('Paslanmaz Fittings'!$A$2:$G$73,MATCH(1,('Paslanmaz Fittings'!$A$2:$A$73=Vanalar!A83)*('Paslanmaz Fittings'!$C$2:$C$73=Vanalar!C83),0),7)*(3.14),10)),"mm",)</f>
        <v>M16x60mm</v>
      </c>
      <c r="L83"/>
    </row>
    <row r="84" spans="1:12">
      <c r="A84" s="29" t="s">
        <v>7</v>
      </c>
      <c r="B84" s="29" t="s">
        <v>59</v>
      </c>
      <c r="C84" s="29" t="s">
        <v>29</v>
      </c>
      <c r="D84" s="29">
        <v>3.7</v>
      </c>
      <c r="E84" s="29" t="s">
        <v>38</v>
      </c>
      <c r="F84" s="29">
        <v>8</v>
      </c>
      <c r="G84" s="29">
        <v>46</v>
      </c>
      <c r="H84" s="26" t="str">
        <f t="array" ref="H84">CONCATENATE(E84,"x",(MROUND(INDEX('Paslanmaz Fittings'!$A$2:$G$73,MATCH(1,('Paslanmaz Fittings'!$A$2:$A$73=Vanalar!A84)*('Paslanmaz Fittings'!$C$2:$C$73=Vanalar!C84),0),7)*(3.14),10)),"mm",)</f>
        <v>M16x80mm</v>
      </c>
      <c r="L84"/>
    </row>
    <row r="85" spans="1:12">
      <c r="A85" s="28" t="s">
        <v>7</v>
      </c>
      <c r="B85" s="28" t="s">
        <v>59</v>
      </c>
      <c r="C85" s="28" t="s">
        <v>30</v>
      </c>
      <c r="D85" s="28">
        <v>3.7</v>
      </c>
      <c r="E85" s="28" t="s">
        <v>38</v>
      </c>
      <c r="F85" s="28">
        <v>8</v>
      </c>
      <c r="G85" s="28">
        <v>46</v>
      </c>
      <c r="H85" s="25" t="str">
        <f t="array" ref="H85">CONCATENATE(E85,"x",(MROUND(INDEX('Paslanmaz Fittings'!$A$2:$G$73,MATCH(1,('Paslanmaz Fittings'!$A$2:$A$73=Vanalar!A85)*('Paslanmaz Fittings'!$C$2:$C$73=Vanalar!C85),0),7)*(3.14),10)),"mm",)</f>
        <v>M16x60mm</v>
      </c>
      <c r="L85"/>
    </row>
    <row r="86" spans="1:12">
      <c r="A86" s="29" t="s">
        <v>8</v>
      </c>
      <c r="B86" s="29" t="s">
        <v>59</v>
      </c>
      <c r="C86" s="29" t="s">
        <v>28</v>
      </c>
      <c r="D86" s="29">
        <v>5.4</v>
      </c>
      <c r="E86" s="29" t="s">
        <v>38</v>
      </c>
      <c r="F86" s="29">
        <v>4</v>
      </c>
      <c r="G86" s="29">
        <v>52</v>
      </c>
      <c r="H86" s="26" t="str">
        <f t="array" ref="H86">CONCATENATE(E86,"x",(MROUND(INDEX('Paslanmaz Fittings'!$A$2:$G$73,MATCH(1,('Paslanmaz Fittings'!$A$2:$A$73=Vanalar!A86)*('Paslanmaz Fittings'!$C$2:$C$73=Vanalar!C86),0),7)*(3.14),10)),"mm",)</f>
        <v>M16x60mm</v>
      </c>
      <c r="L86"/>
    </row>
    <row r="87" spans="1:12">
      <c r="A87" s="28" t="s">
        <v>8</v>
      </c>
      <c r="B87" s="28" t="s">
        <v>59</v>
      </c>
      <c r="C87" s="28" t="s">
        <v>29</v>
      </c>
      <c r="D87" s="28">
        <v>5.4</v>
      </c>
      <c r="E87" s="28" t="s">
        <v>38</v>
      </c>
      <c r="F87" s="28">
        <v>8</v>
      </c>
      <c r="G87" s="28">
        <v>52</v>
      </c>
      <c r="H87" s="25" t="str">
        <f t="array" ref="H87">CONCATENATE(E87,"x",(MROUND(INDEX('Paslanmaz Fittings'!$A$2:$G$73,MATCH(1,('Paslanmaz Fittings'!$A$2:$A$73=Vanalar!A87)*('Paslanmaz Fittings'!$C$2:$C$73=Vanalar!C87),0),7)*(3.14),10)),"mm",)</f>
        <v>M16x80mm</v>
      </c>
      <c r="L87"/>
    </row>
    <row r="88" spans="1:12">
      <c r="A88" s="29" t="s">
        <v>8</v>
      </c>
      <c r="B88" s="29" t="s">
        <v>59</v>
      </c>
      <c r="C88" s="29" t="s">
        <v>30</v>
      </c>
      <c r="D88" s="29">
        <v>5.4</v>
      </c>
      <c r="E88" s="29" t="s">
        <v>38</v>
      </c>
      <c r="F88" s="29">
        <v>8</v>
      </c>
      <c r="G88" s="29">
        <v>52</v>
      </c>
      <c r="H88" s="26" t="str">
        <f t="array" ref="H88">CONCATENATE(E88,"x",(MROUND(INDEX('Paslanmaz Fittings'!$A$2:$G$73,MATCH(1,('Paslanmaz Fittings'!$A$2:$A$73=Vanalar!A88)*('Paslanmaz Fittings'!$C$2:$C$73=Vanalar!C88),0),7)*(3.14),10)),"mm",)</f>
        <v>M16x70mm</v>
      </c>
      <c r="L88"/>
    </row>
    <row r="89" spans="1:12">
      <c r="A89" s="28" t="s">
        <v>9</v>
      </c>
      <c r="B89" s="28" t="s">
        <v>59</v>
      </c>
      <c r="C89" s="28" t="s">
        <v>28</v>
      </c>
      <c r="D89" s="28">
        <v>7</v>
      </c>
      <c r="E89" s="28" t="s">
        <v>38</v>
      </c>
      <c r="F89" s="28">
        <v>8</v>
      </c>
      <c r="G89" s="28">
        <v>56</v>
      </c>
      <c r="H89" s="25" t="str">
        <f t="array" ref="H89">CONCATENATE(E89,"x",(MROUND(INDEX('Paslanmaz Fittings'!$A$2:$G$73,MATCH(1,('Paslanmaz Fittings'!$A$2:$A$73=Vanalar!A89)*('Paslanmaz Fittings'!$C$2:$C$73=Vanalar!C89),0),7)*(3.14),10)),"mm",)</f>
        <v>M16x60mm</v>
      </c>
      <c r="L89"/>
    </row>
    <row r="90" spans="1:12">
      <c r="A90" s="29" t="s">
        <v>9</v>
      </c>
      <c r="B90" s="29" t="s">
        <v>59</v>
      </c>
      <c r="C90" s="29" t="s">
        <v>29</v>
      </c>
      <c r="D90" s="29">
        <v>7</v>
      </c>
      <c r="E90" s="29" t="s">
        <v>38</v>
      </c>
      <c r="F90" s="29">
        <v>8</v>
      </c>
      <c r="G90" s="29">
        <v>56</v>
      </c>
      <c r="H90" s="26" t="str">
        <f t="array" ref="H90">CONCATENATE(E90,"x",(MROUND(INDEX('Paslanmaz Fittings'!$A$2:$G$73,MATCH(1,('Paslanmaz Fittings'!$A$2:$A$73=Vanalar!A90)*('Paslanmaz Fittings'!$C$2:$C$73=Vanalar!C90),0),7)*(3.14),10)),"mm",)</f>
        <v>M16x90mm</v>
      </c>
      <c r="L90"/>
    </row>
    <row r="91" spans="1:12">
      <c r="A91" s="28" t="s">
        <v>9</v>
      </c>
      <c r="B91" s="28" t="s">
        <v>59</v>
      </c>
      <c r="C91" s="28" t="s">
        <v>30</v>
      </c>
      <c r="D91" s="28">
        <v>7</v>
      </c>
      <c r="E91" s="28" t="s">
        <v>38</v>
      </c>
      <c r="F91" s="28">
        <v>8</v>
      </c>
      <c r="G91" s="28">
        <v>56</v>
      </c>
      <c r="H91" s="25" t="str">
        <f t="array" ref="H91">CONCATENATE(E91,"x",(MROUND(INDEX('Paslanmaz Fittings'!$A$2:$G$73,MATCH(1,('Paslanmaz Fittings'!$A$2:$A$73=Vanalar!A91)*('Paslanmaz Fittings'!$C$2:$C$73=Vanalar!C91),0),7)*(3.14),10)),"mm",)</f>
        <v>M16x70mm</v>
      </c>
      <c r="L91"/>
    </row>
    <row r="92" spans="1:12">
      <c r="A92" s="29" t="s">
        <v>10</v>
      </c>
      <c r="B92" s="29" t="s">
        <v>59</v>
      </c>
      <c r="C92" s="29" t="s">
        <v>28</v>
      </c>
      <c r="D92" s="29">
        <v>8.4</v>
      </c>
      <c r="E92" s="29" t="s">
        <v>38</v>
      </c>
      <c r="F92" s="29">
        <v>8</v>
      </c>
      <c r="G92" s="29">
        <v>56</v>
      </c>
      <c r="H92" s="26" t="str">
        <f t="array" ref="H92">CONCATENATE(E92,"x",(MROUND(INDEX('Paslanmaz Fittings'!$A$2:$G$73,MATCH(1,('Paslanmaz Fittings'!$A$2:$A$73=Vanalar!A92)*('Paslanmaz Fittings'!$C$2:$C$73=Vanalar!C92),0),7)*(3.14),10)),"mm",)</f>
        <v>M16x60mm</v>
      </c>
      <c r="L92"/>
    </row>
    <row r="93" spans="1:12">
      <c r="A93" s="28" t="s">
        <v>10</v>
      </c>
      <c r="B93" s="28" t="s">
        <v>59</v>
      </c>
      <c r="C93" s="28" t="s">
        <v>29</v>
      </c>
      <c r="D93" s="28">
        <v>8.4</v>
      </c>
      <c r="E93" s="28" t="s">
        <v>39</v>
      </c>
      <c r="F93" s="28">
        <v>8</v>
      </c>
      <c r="G93" s="28">
        <v>56</v>
      </c>
      <c r="H93" s="25" t="str">
        <f t="array" ref="H93">CONCATENATE(E93,"x",(MROUND(INDEX('Paslanmaz Fittings'!$A$2:$G$73,MATCH(1,('Paslanmaz Fittings'!$A$2:$A$73=Vanalar!A93)*('Paslanmaz Fittings'!$C$2:$C$73=Vanalar!C93),0),7)*(3.14),10)),"mm",)</f>
        <v>M20x90mm</v>
      </c>
      <c r="L93"/>
    </row>
    <row r="94" spans="1:12">
      <c r="A94" s="29" t="s">
        <v>10</v>
      </c>
      <c r="B94" s="29" t="s">
        <v>59</v>
      </c>
      <c r="C94" s="29" t="s">
        <v>30</v>
      </c>
      <c r="D94" s="29">
        <v>8.4</v>
      </c>
      <c r="E94" s="29" t="s">
        <v>39</v>
      </c>
      <c r="F94" s="29">
        <v>8</v>
      </c>
      <c r="G94" s="29">
        <v>56</v>
      </c>
      <c r="H94" s="26" t="str">
        <f t="array" ref="H94">CONCATENATE(E94,"x",(MROUND(INDEX('Paslanmaz Fittings'!$A$2:$G$73,MATCH(1,('Paslanmaz Fittings'!$A$2:$A$73=Vanalar!A94)*('Paslanmaz Fittings'!$C$2:$C$73=Vanalar!C94),0),7)*(3.14),10)),"mm",)</f>
        <v>M20x80mm</v>
      </c>
      <c r="L94"/>
    </row>
    <row r="95" spans="1:12">
      <c r="A95" s="28" t="s">
        <v>11</v>
      </c>
      <c r="B95" s="28" t="s">
        <v>59</v>
      </c>
      <c r="C95" s="28" t="s">
        <v>28</v>
      </c>
      <c r="D95" s="28">
        <v>13.7</v>
      </c>
      <c r="E95" s="28" t="s">
        <v>38</v>
      </c>
      <c r="F95" s="28">
        <v>8</v>
      </c>
      <c r="G95" s="28">
        <v>60</v>
      </c>
      <c r="H95" s="25" t="str">
        <f t="array" ref="H95">CONCATENATE(E95,"x",(MROUND(INDEX('Paslanmaz Fittings'!$A$2:$G$73,MATCH(1,('Paslanmaz Fittings'!$A$2:$A$73=Vanalar!A95)*('Paslanmaz Fittings'!$C$2:$C$73=Vanalar!C95),0),7)*(3.14),10)),"mm",)</f>
        <v>M16x70mm</v>
      </c>
      <c r="L95"/>
    </row>
    <row r="96" spans="1:12">
      <c r="A96" s="29" t="s">
        <v>11</v>
      </c>
      <c r="B96" s="29" t="s">
        <v>59</v>
      </c>
      <c r="C96" s="29" t="s">
        <v>29</v>
      </c>
      <c r="D96" s="29">
        <v>13.7</v>
      </c>
      <c r="E96" s="29" t="s">
        <v>39</v>
      </c>
      <c r="F96" s="29">
        <v>8</v>
      </c>
      <c r="G96" s="29">
        <v>60</v>
      </c>
      <c r="H96" s="26" t="str">
        <f t="array" ref="H96">CONCATENATE(E96,"x",(MROUND(INDEX('Paslanmaz Fittings'!$A$2:$G$73,MATCH(1,('Paslanmaz Fittings'!$A$2:$A$73=Vanalar!A96)*('Paslanmaz Fittings'!$C$2:$C$73=Vanalar!C96),0),7)*(3.14),10)),"mm",)</f>
        <v>M20x100mm</v>
      </c>
      <c r="L96"/>
    </row>
    <row r="97" spans="1:12">
      <c r="A97" s="28" t="s">
        <v>11</v>
      </c>
      <c r="B97" s="28" t="s">
        <v>59</v>
      </c>
      <c r="C97" s="28" t="s">
        <v>30</v>
      </c>
      <c r="D97" s="28">
        <v>13.7</v>
      </c>
      <c r="E97" s="28" t="s">
        <v>39</v>
      </c>
      <c r="F97" s="28">
        <v>12</v>
      </c>
      <c r="G97" s="28">
        <v>60</v>
      </c>
      <c r="H97" s="25" t="str">
        <f t="array" ref="H97">CONCATENATE(E97,"x",(MROUND(INDEX('Paslanmaz Fittings'!$A$2:$G$73,MATCH(1,('Paslanmaz Fittings'!$A$2:$A$73=Vanalar!A97)*('Paslanmaz Fittings'!$C$2:$C$73=Vanalar!C97),0),7)*(3.14),10)),"mm",)</f>
        <v>M20x80mm</v>
      </c>
      <c r="L97"/>
    </row>
    <row r="98" spans="1:12">
      <c r="A98" s="29" t="s">
        <v>12</v>
      </c>
      <c r="B98" s="29" t="s">
        <v>59</v>
      </c>
      <c r="C98" s="29" t="s">
        <v>28</v>
      </c>
      <c r="D98" s="29">
        <v>18.899999999999999</v>
      </c>
      <c r="E98" s="29" t="s">
        <v>38</v>
      </c>
      <c r="F98" s="29">
        <v>12</v>
      </c>
      <c r="G98" s="29">
        <v>68</v>
      </c>
      <c r="H98" s="26" t="str">
        <f t="array" ref="H98">CONCATENATE(E98,"x",(MROUND(INDEX('Paslanmaz Fittings'!$A$2:$G$73,MATCH(1,('Paslanmaz Fittings'!$A$2:$A$73=Vanalar!A98)*('Paslanmaz Fittings'!$C$2:$C$73=Vanalar!C98),0),7)*(3.14),10)),"mm",)</f>
        <v>M16x80mm</v>
      </c>
      <c r="L98"/>
    </row>
    <row r="99" spans="1:12">
      <c r="A99" s="28" t="s">
        <v>12</v>
      </c>
      <c r="B99" s="28" t="s">
        <v>59</v>
      </c>
      <c r="C99" s="28" t="s">
        <v>29</v>
      </c>
      <c r="D99" s="28">
        <v>18.899999999999999</v>
      </c>
      <c r="E99" s="28" t="s">
        <v>39</v>
      </c>
      <c r="F99" s="28">
        <v>12</v>
      </c>
      <c r="G99" s="28">
        <v>68</v>
      </c>
      <c r="H99" s="25" t="str">
        <f t="array" ref="H99">CONCATENATE(E99,"x",(MROUND(INDEX('Paslanmaz Fittings'!$A$2:$G$73,MATCH(1,('Paslanmaz Fittings'!$A$2:$A$73=Vanalar!A99)*('Paslanmaz Fittings'!$C$2:$C$73=Vanalar!C99),0),7)*(3.14),10)),"mm",)</f>
        <v>M20x110mm</v>
      </c>
      <c r="L99"/>
    </row>
    <row r="100" spans="1:12">
      <c r="A100" s="29" t="s">
        <v>12</v>
      </c>
      <c r="B100" s="29" t="s">
        <v>59</v>
      </c>
      <c r="C100" s="29" t="s">
        <v>30</v>
      </c>
      <c r="D100" s="29">
        <v>18.899999999999999</v>
      </c>
      <c r="E100" s="29" t="s">
        <v>41</v>
      </c>
      <c r="F100" s="29">
        <v>12</v>
      </c>
      <c r="G100" s="29">
        <v>68</v>
      </c>
      <c r="H100" s="26" t="str">
        <f t="array" ref="H100">CONCATENATE(E100,"x",(MROUND(INDEX('Paslanmaz Fittings'!$A$2:$G$73,MATCH(1,('Paslanmaz Fittings'!$A$2:$A$73=Vanalar!A100)*('Paslanmaz Fittings'!$C$2:$C$73=Vanalar!C100),0),7)*(3.14),10)),"mm",)</f>
        <v>M24x90mm</v>
      </c>
      <c r="L100"/>
    </row>
    <row r="101" spans="1:12">
      <c r="A101" s="28" t="s">
        <v>13</v>
      </c>
      <c r="B101" s="28" t="s">
        <v>59</v>
      </c>
      <c r="C101" s="28" t="s">
        <v>28</v>
      </c>
      <c r="D101" s="28">
        <v>30.3</v>
      </c>
      <c r="E101" s="28" t="s">
        <v>39</v>
      </c>
      <c r="F101" s="28">
        <v>12</v>
      </c>
      <c r="G101" s="28">
        <v>78</v>
      </c>
      <c r="H101" s="25" t="str">
        <f t="array" ref="H101">CONCATENATE(E101,"x",(MROUND(INDEX('Paslanmaz Fittings'!$A$2:$G$73,MATCH(1,('Paslanmaz Fittings'!$A$2:$A$73=Vanalar!A101)*('Paslanmaz Fittings'!$C$2:$C$73=Vanalar!C101),0),7)*(3.14),10)),"mm",)</f>
        <v>M20x80mm</v>
      </c>
      <c r="L101"/>
    </row>
    <row r="102" spans="1:12">
      <c r="A102" s="29" t="s">
        <v>13</v>
      </c>
      <c r="B102" s="29" t="s">
        <v>59</v>
      </c>
      <c r="C102" s="29" t="s">
        <v>29</v>
      </c>
      <c r="D102" s="29">
        <v>30.3</v>
      </c>
      <c r="E102" s="29" t="s">
        <v>39</v>
      </c>
      <c r="F102" s="29">
        <v>12</v>
      </c>
      <c r="G102" s="29">
        <v>78</v>
      </c>
      <c r="H102" s="26" t="str">
        <f t="array" ref="H102">CONCATENATE(E102,"x",(MROUND(INDEX('Paslanmaz Fittings'!$A$2:$G$73,MATCH(1,('Paslanmaz Fittings'!$A$2:$A$73=Vanalar!A102)*('Paslanmaz Fittings'!$C$2:$C$73=Vanalar!C102),0),7)*(3.14),10)),"mm",)</f>
        <v>M20x120mm</v>
      </c>
      <c r="L102"/>
    </row>
    <row r="103" spans="1:12">
      <c r="A103" s="28" t="s">
        <v>13</v>
      </c>
      <c r="B103" s="28" t="s">
        <v>59</v>
      </c>
      <c r="C103" s="28" t="s">
        <v>30</v>
      </c>
      <c r="D103" s="28">
        <v>30.3</v>
      </c>
      <c r="E103" s="28" t="s">
        <v>41</v>
      </c>
      <c r="F103" s="28">
        <v>12</v>
      </c>
      <c r="G103" s="28">
        <v>78</v>
      </c>
      <c r="H103" s="25" t="str">
        <f t="array" ref="H103">CONCATENATE(E103,"x",(MROUND(INDEX('Paslanmaz Fittings'!$A$2:$G$73,MATCH(1,('Paslanmaz Fittings'!$A$2:$A$73=Vanalar!A103)*('Paslanmaz Fittings'!$C$2:$C$73=Vanalar!C103),0),7)*(3.14),10)),"mm",)</f>
        <v>M24x100mm</v>
      </c>
      <c r="L103"/>
    </row>
    <row r="104" spans="1:12">
      <c r="A104" s="29" t="s">
        <v>14</v>
      </c>
      <c r="B104" s="29" t="s">
        <v>59</v>
      </c>
      <c r="C104" s="29" t="s">
        <v>28</v>
      </c>
      <c r="D104" s="29">
        <v>54</v>
      </c>
      <c r="E104" s="29" t="s">
        <v>39</v>
      </c>
      <c r="F104" s="29">
        <v>12</v>
      </c>
      <c r="G104" s="29">
        <v>78</v>
      </c>
      <c r="H104" s="26" t="str">
        <f t="array" ref="H104">CONCATENATE(E104,"x",(MROUND(INDEX('Paslanmaz Fittings'!$A$2:$G$73,MATCH(1,('Paslanmaz Fittings'!$A$2:$A$73=Vanalar!A104)*('Paslanmaz Fittings'!$C$2:$C$73=Vanalar!C104),0),7)*(3.14),10)),"mm",)</f>
        <v>M20x80mm</v>
      </c>
      <c r="L104"/>
    </row>
    <row r="105" spans="1:12">
      <c r="A105" s="28" t="s">
        <v>14</v>
      </c>
      <c r="B105" s="28" t="s">
        <v>59</v>
      </c>
      <c r="C105" s="28" t="s">
        <v>29</v>
      </c>
      <c r="D105" s="28">
        <v>54</v>
      </c>
      <c r="E105" s="28" t="s">
        <v>39</v>
      </c>
      <c r="F105" s="28">
        <v>16</v>
      </c>
      <c r="G105" s="28">
        <v>78</v>
      </c>
      <c r="H105" s="25" t="str">
        <f t="array" ref="H105">CONCATENATE(E105,"x",(MROUND(INDEX('Paslanmaz Fittings'!$A$2:$G$73,MATCH(1,('Paslanmaz Fittings'!$A$2:$A$73=Vanalar!A105)*('Paslanmaz Fittings'!$C$2:$C$73=Vanalar!C105),0),7)*(3.14),10)),"mm",)</f>
        <v>M20x130mm</v>
      </c>
      <c r="L105"/>
    </row>
    <row r="106" spans="1:12">
      <c r="A106" s="29" t="s">
        <v>14</v>
      </c>
      <c r="B106" s="29" t="s">
        <v>59</v>
      </c>
      <c r="C106" s="29" t="s">
        <v>30</v>
      </c>
      <c r="D106" s="29">
        <v>54</v>
      </c>
      <c r="E106" s="29" t="s">
        <v>41</v>
      </c>
      <c r="F106" s="29">
        <v>16</v>
      </c>
      <c r="G106" s="29">
        <v>78</v>
      </c>
      <c r="H106" s="26" t="str">
        <f t="array" ref="H106">CONCATENATE(E106,"x",(MROUND(INDEX('Paslanmaz Fittings'!$A$2:$G$73,MATCH(1,('Paslanmaz Fittings'!$A$2:$A$73=Vanalar!A106)*('Paslanmaz Fittings'!$C$2:$C$73=Vanalar!C106),0),7)*(3.14),10)),"mm",)</f>
        <v>M24x110mm</v>
      </c>
      <c r="L106"/>
    </row>
    <row r="107" spans="1:12">
      <c r="A107" s="28" t="s">
        <v>15</v>
      </c>
      <c r="B107" s="28" t="s">
        <v>59</v>
      </c>
      <c r="C107" s="28" t="s">
        <v>28</v>
      </c>
      <c r="D107" s="28">
        <v>82</v>
      </c>
      <c r="E107" s="28" t="s">
        <v>39</v>
      </c>
      <c r="F107" s="28">
        <v>16</v>
      </c>
      <c r="G107" s="28">
        <v>102</v>
      </c>
      <c r="H107" s="25" t="str">
        <f t="array" ref="H107">CONCATENATE(E107,"x",(MROUND(INDEX('Paslanmaz Fittings'!$A$2:$G$73,MATCH(1,('Paslanmaz Fittings'!$A$2:$A$73=Vanalar!A107)*('Paslanmaz Fittings'!$C$2:$C$73=Vanalar!C107),0),7)*(3.14),10)),"mm",)</f>
        <v>M20x90mm</v>
      </c>
      <c r="L107"/>
    </row>
    <row r="108" spans="1:12">
      <c r="A108" s="29" t="s">
        <v>15</v>
      </c>
      <c r="B108" s="29" t="s">
        <v>59</v>
      </c>
      <c r="C108" s="29" t="s">
        <v>29</v>
      </c>
      <c r="D108" s="29">
        <v>82</v>
      </c>
      <c r="E108" s="29" t="s">
        <v>41</v>
      </c>
      <c r="F108" s="29">
        <v>16</v>
      </c>
      <c r="G108" s="29">
        <v>102</v>
      </c>
      <c r="H108" s="26" t="str">
        <f t="array" ref="H108">CONCATENATE(E108,"x",(MROUND(INDEX('Paslanmaz Fittings'!$A$2:$G$73,MATCH(1,('Paslanmaz Fittings'!$A$2:$A$73=Vanalar!A108)*('Paslanmaz Fittings'!$C$2:$C$73=Vanalar!C108),0),7)*(3.14),10)),"mm",)</f>
        <v>M24x140mm</v>
      </c>
      <c r="L108"/>
    </row>
    <row r="109" spans="1:12">
      <c r="A109" s="28" t="s">
        <v>15</v>
      </c>
      <c r="B109" s="28" t="s">
        <v>59</v>
      </c>
      <c r="C109" s="28" t="s">
        <v>30</v>
      </c>
      <c r="D109" s="28">
        <v>82</v>
      </c>
      <c r="E109" s="28" t="s">
        <v>42</v>
      </c>
      <c r="F109" s="28">
        <v>16</v>
      </c>
      <c r="G109" s="28">
        <v>102</v>
      </c>
      <c r="H109" s="25" t="str">
        <f t="array" ref="H109">CONCATENATE(E109,"x",(MROUND(INDEX('Paslanmaz Fittings'!$A$2:$G$73,MATCH(1,('Paslanmaz Fittings'!$A$2:$A$73=Vanalar!A109)*('Paslanmaz Fittings'!$C$2:$C$73=Vanalar!C109),0),7)*(3.14),10)),"mm",)</f>
        <v>M27x120mm</v>
      </c>
      <c r="L109"/>
    </row>
    <row r="110" spans="1:12">
      <c r="A110" s="29" t="s">
        <v>16</v>
      </c>
      <c r="B110" s="29" t="s">
        <v>59</v>
      </c>
      <c r="C110" s="29" t="s">
        <v>28</v>
      </c>
      <c r="D110" s="29">
        <v>111</v>
      </c>
      <c r="E110" s="29" t="s">
        <v>41</v>
      </c>
      <c r="F110" s="29">
        <v>16</v>
      </c>
      <c r="G110" s="29">
        <v>114</v>
      </c>
      <c r="H110" s="26" t="str">
        <f t="array" ref="H110">CONCATENATE(E110,"x",(MROUND(INDEX('Paslanmaz Fittings'!$A$2:$G$73,MATCH(1,('Paslanmaz Fittings'!$A$2:$A$73=Vanalar!A110)*('Paslanmaz Fittings'!$C$2:$C$73=Vanalar!C110),0),7)*(3.14),10)),"mm",)</f>
        <v>M24x90mm</v>
      </c>
      <c r="L110"/>
    </row>
    <row r="111" spans="1:12">
      <c r="A111" s="28" t="s">
        <v>16</v>
      </c>
      <c r="B111" s="28" t="s">
        <v>59</v>
      </c>
      <c r="C111" s="28" t="s">
        <v>29</v>
      </c>
      <c r="D111" s="28">
        <v>111</v>
      </c>
      <c r="E111" s="28" t="s">
        <v>41</v>
      </c>
      <c r="F111" s="28">
        <v>20</v>
      </c>
      <c r="G111" s="28">
        <v>114</v>
      </c>
      <c r="H111" s="25" t="str">
        <f t="array" ref="H111">CONCATENATE(E111,"x",(MROUND(INDEX('Paslanmaz Fittings'!$A$2:$G$73,MATCH(1,('Paslanmaz Fittings'!$A$2:$A$73=Vanalar!A111)*('Paslanmaz Fittings'!$C$2:$C$73=Vanalar!C111),0),7)*(3.14),10)),"mm",)</f>
        <v>M24x160mm</v>
      </c>
      <c r="L111"/>
    </row>
    <row r="112" spans="1:12">
      <c r="A112" s="29" t="s">
        <v>16</v>
      </c>
      <c r="B112" s="29" t="s">
        <v>59</v>
      </c>
      <c r="C112" s="29" t="s">
        <v>30</v>
      </c>
      <c r="D112" s="29">
        <v>111</v>
      </c>
      <c r="E112" s="29" t="s">
        <v>42</v>
      </c>
      <c r="F112" s="29">
        <v>20</v>
      </c>
      <c r="G112" s="29">
        <v>114</v>
      </c>
      <c r="H112" s="26" t="str">
        <f t="array" ref="H112">CONCATENATE(E112,"x",(MROUND(INDEX('Paslanmaz Fittings'!$A$2:$G$73,MATCH(1,('Paslanmaz Fittings'!$A$2:$A$73=Vanalar!A112)*('Paslanmaz Fittings'!$C$2:$C$73=Vanalar!C112),0),7)*(3.14),10)),"mm",)</f>
        <v>M27x130mm</v>
      </c>
      <c r="L112"/>
    </row>
    <row r="113" spans="1:12">
      <c r="A113" s="28" t="s">
        <v>17</v>
      </c>
      <c r="B113" s="28" t="s">
        <v>59</v>
      </c>
      <c r="C113" s="28" t="s">
        <v>28</v>
      </c>
      <c r="D113" s="28">
        <v>142</v>
      </c>
      <c r="E113" s="28" t="s">
        <v>39</v>
      </c>
      <c r="F113" s="28">
        <v>20</v>
      </c>
      <c r="G113" s="28">
        <v>127</v>
      </c>
      <c r="H113" s="25" t="str">
        <f t="array" ref="H113">CONCATENATE(E113,"x",(MROUND(INDEX('Paslanmaz Fittings'!$A$2:$G$73,MATCH(1,('Paslanmaz Fittings'!$A$2:$A$73=Vanalar!A113)*('Paslanmaz Fittings'!$C$2:$C$73=Vanalar!C113),0),7)*(3.14),10)),"mm",)</f>
        <v>M20x90mm</v>
      </c>
      <c r="L113"/>
    </row>
    <row r="114" spans="1:12">
      <c r="A114" s="29" t="s">
        <v>17</v>
      </c>
      <c r="B114" s="29" t="s">
        <v>59</v>
      </c>
      <c r="C114" s="29" t="s">
        <v>29</v>
      </c>
      <c r="D114" s="29">
        <v>142</v>
      </c>
      <c r="E114" s="29" t="s">
        <v>41</v>
      </c>
      <c r="F114" s="29">
        <v>20</v>
      </c>
      <c r="G114" s="29">
        <v>127</v>
      </c>
      <c r="H114" s="26" t="str">
        <f t="array" ref="H114">CONCATENATE(E114,"x",(MROUND(INDEX('Paslanmaz Fittings'!$A$2:$G$73,MATCH(1,('Paslanmaz Fittings'!$A$2:$A$73=Vanalar!A114)*('Paslanmaz Fittings'!$C$2:$C$73=Vanalar!C114),0),7)*(3.14),10)),"mm",)</f>
        <v>M24x180mm</v>
      </c>
      <c r="L114"/>
    </row>
    <row r="115" spans="1:12">
      <c r="A115" s="28" t="s">
        <v>17</v>
      </c>
      <c r="B115" s="28" t="s">
        <v>59</v>
      </c>
      <c r="C115" s="28" t="s">
        <v>30</v>
      </c>
      <c r="D115" s="28">
        <v>142</v>
      </c>
      <c r="E115" s="28" t="s">
        <v>43</v>
      </c>
      <c r="F115" s="28">
        <v>20</v>
      </c>
      <c r="G115" s="28">
        <v>127</v>
      </c>
      <c r="H115" s="25" t="str">
        <f t="array" ref="H115">CONCATENATE(E115,"x",(MROUND(INDEX('Paslanmaz Fittings'!$A$2:$G$73,MATCH(1,('Paslanmaz Fittings'!$A$2:$A$73=Vanalar!A115)*('Paslanmaz Fittings'!$C$2:$C$73=Vanalar!C115),0),7)*(3.14),10)),"mm",)</f>
        <v>M30x140mm</v>
      </c>
      <c r="L115"/>
    </row>
    <row r="116" spans="1:12">
      <c r="A116" s="29" t="s">
        <v>18</v>
      </c>
      <c r="B116" s="29" t="s">
        <v>59</v>
      </c>
      <c r="C116" s="29" t="s">
        <v>28</v>
      </c>
      <c r="D116" s="29">
        <v>242</v>
      </c>
      <c r="E116" s="29" t="s">
        <v>41</v>
      </c>
      <c r="F116" s="29">
        <v>20</v>
      </c>
      <c r="G116" s="29">
        <v>154</v>
      </c>
      <c r="H116" s="26" t="str">
        <f t="array" ref="H116">CONCATENATE(E116,"x",(MROUND(INDEX('Paslanmaz Fittings'!$A$2:$G$73,MATCH(1,('Paslanmaz Fittings'!$A$2:$A$73=Vanalar!A116)*('Paslanmaz Fittings'!$C$2:$C$73=Vanalar!C116),0),7)*(3.14),10)),"mm",)</f>
        <v>M24x100mm</v>
      </c>
      <c r="L116"/>
    </row>
    <row r="117" spans="1:12">
      <c r="A117" s="28" t="s">
        <v>18</v>
      </c>
      <c r="B117" s="28" t="s">
        <v>59</v>
      </c>
      <c r="C117" s="28" t="s">
        <v>29</v>
      </c>
      <c r="D117" s="28">
        <v>242</v>
      </c>
      <c r="E117" s="28" t="s">
        <v>42</v>
      </c>
      <c r="F117" s="28">
        <v>20</v>
      </c>
      <c r="G117" s="28">
        <v>154</v>
      </c>
      <c r="H117" s="25" t="str">
        <f t="array" ref="H117">CONCATENATE(E117,"x",(MROUND(INDEX('Paslanmaz Fittings'!$A$2:$G$73,MATCH(1,('Paslanmaz Fittings'!$A$2:$A$73=Vanalar!A117)*('Paslanmaz Fittings'!$C$2:$C$73=Vanalar!C117),0),7)*(3.14),10)),"mm",)</f>
        <v>M27x210mm</v>
      </c>
      <c r="L117"/>
    </row>
    <row r="118" spans="1:12">
      <c r="A118" s="30" t="s">
        <v>18</v>
      </c>
      <c r="B118" s="30" t="s">
        <v>59</v>
      </c>
      <c r="C118" s="30" t="s">
        <v>30</v>
      </c>
      <c r="D118" s="30">
        <v>242</v>
      </c>
      <c r="E118" s="30" t="s">
        <v>44</v>
      </c>
      <c r="F118" s="30">
        <v>20</v>
      </c>
      <c r="G118" s="30">
        <v>154</v>
      </c>
      <c r="H118" s="26" t="str">
        <f t="array" ref="H118">CONCATENATE(E118,"x",(MROUND(INDEX('Paslanmaz Fittings'!$A$2:$G$73,MATCH(1,('Paslanmaz Fittings'!$A$2:$A$73=Vanalar!A118)*('Paslanmaz Fittings'!$C$2:$C$73=Vanalar!C118),0),7)*(3.14),10)),"mm",)</f>
        <v>M33x160mm</v>
      </c>
      <c r="L118"/>
    </row>
    <row r="119" spans="1:12">
      <c r="H119" s="25"/>
      <c r="L119"/>
    </row>
    <row r="120" spans="1:12">
      <c r="A120" s="31" t="s">
        <v>5</v>
      </c>
      <c r="B120" s="31" t="s">
        <v>55</v>
      </c>
      <c r="C120" s="31" t="s">
        <v>29</v>
      </c>
      <c r="D120" s="31">
        <v>7.1</v>
      </c>
      <c r="E120" s="31" t="s">
        <v>38</v>
      </c>
      <c r="F120" s="31">
        <v>4</v>
      </c>
      <c r="G120" s="31">
        <v>43</v>
      </c>
      <c r="H120" s="31" t="str">
        <f t="array" ref="H120">CONCATENATE(E120,"x",(MROUND(INDEX('Paslanmaz Fittings'!$A$2:$G$73,MATCH(1,('Paslanmaz Fittings'!$A$2:$A$73=Vanalar!A120)*('Paslanmaz Fittings'!$C$2:$C$73=Vanalar!C120),0),7)+(G120/3),10)),"mm",)</f>
        <v>M16x30mm</v>
      </c>
      <c r="L120"/>
    </row>
    <row r="121" spans="1:12">
      <c r="A121" s="32" t="s">
        <v>6</v>
      </c>
      <c r="B121" s="32" t="s">
        <v>55</v>
      </c>
      <c r="C121" s="32" t="s">
        <v>29</v>
      </c>
      <c r="D121" s="32">
        <v>7.9</v>
      </c>
      <c r="E121" s="32" t="s">
        <v>38</v>
      </c>
      <c r="F121" s="32">
        <v>4</v>
      </c>
      <c r="G121" s="32">
        <v>46</v>
      </c>
      <c r="H121" s="32" t="str">
        <f t="array" ref="H121">CONCATENATE(E121,"x",(MROUND(INDEX('Paslanmaz Fittings'!$A$2:$G$73,MATCH(1,('Paslanmaz Fittings'!$A$2:$A$73=Vanalar!A121)*('Paslanmaz Fittings'!$C$2:$C$73=Vanalar!C121),0),7)+(G121/3),10)),"mm",)</f>
        <v>M16x40mm</v>
      </c>
      <c r="L121"/>
    </row>
    <row r="122" spans="1:12">
      <c r="A122" s="31" t="s">
        <v>7</v>
      </c>
      <c r="B122" s="31" t="s">
        <v>55</v>
      </c>
      <c r="C122" s="31" t="s">
        <v>29</v>
      </c>
      <c r="D122" s="31">
        <v>10.7</v>
      </c>
      <c r="E122" s="31" t="s">
        <v>38</v>
      </c>
      <c r="F122" s="31">
        <v>8</v>
      </c>
      <c r="G122" s="31">
        <v>46</v>
      </c>
      <c r="H122" s="31" t="str">
        <f t="array" ref="H122">CONCATENATE(E122,"x",(MROUND(INDEX('Paslanmaz Fittings'!$A$2:$G$73,MATCH(1,('Paslanmaz Fittings'!$A$2:$A$73=Vanalar!A122)*('Paslanmaz Fittings'!$C$2:$C$73=Vanalar!C122),0),7)+(G122/3),10)),"mm",)</f>
        <v>M16x40mm</v>
      </c>
      <c r="L122"/>
    </row>
    <row r="123" spans="1:12">
      <c r="A123" s="32" t="s">
        <v>8</v>
      </c>
      <c r="B123" s="32" t="s">
        <v>55</v>
      </c>
      <c r="C123" s="32" t="s">
        <v>29</v>
      </c>
      <c r="D123" s="32">
        <v>12.8</v>
      </c>
      <c r="E123" s="32" t="s">
        <v>38</v>
      </c>
      <c r="F123" s="32">
        <v>8</v>
      </c>
      <c r="G123" s="32">
        <v>52</v>
      </c>
      <c r="H123" s="32" t="str">
        <f t="array" ref="H123">CONCATENATE(E123,"x",(MROUND(INDEX('Paslanmaz Fittings'!$A$2:$G$73,MATCH(1,('Paslanmaz Fittings'!$A$2:$A$73=Vanalar!A123)*('Paslanmaz Fittings'!$C$2:$C$73=Vanalar!C123),0),7)+(G123/3),10)),"mm",)</f>
        <v>M16x40mm</v>
      </c>
      <c r="L123"/>
    </row>
    <row r="124" spans="1:12">
      <c r="A124" s="31" t="s">
        <v>9</v>
      </c>
      <c r="B124" s="31" t="s">
        <v>55</v>
      </c>
      <c r="C124" s="31" t="s">
        <v>29</v>
      </c>
      <c r="D124" s="31">
        <v>14.8</v>
      </c>
      <c r="E124" s="31" t="s">
        <v>39</v>
      </c>
      <c r="F124" s="31">
        <v>8</v>
      </c>
      <c r="G124" s="31">
        <v>56</v>
      </c>
      <c r="H124" s="31" t="str">
        <f t="array" ref="H124">CONCATENATE(E124,"x",(MROUND(INDEX('Paslanmaz Fittings'!$A$2:$G$73,MATCH(1,('Paslanmaz Fittings'!$A$2:$A$73=Vanalar!A124)*('Paslanmaz Fittings'!$C$2:$C$73=Vanalar!C124),0),7)+(G124/3),10)),"mm",)</f>
        <v>M20x50mm</v>
      </c>
      <c r="L124"/>
    </row>
    <row r="125" spans="1:12">
      <c r="A125" s="32" t="s">
        <v>10</v>
      </c>
      <c r="B125" s="32" t="s">
        <v>55</v>
      </c>
      <c r="C125" s="32" t="s">
        <v>29</v>
      </c>
      <c r="D125" s="32">
        <v>21.2</v>
      </c>
      <c r="E125" s="32" t="s">
        <v>39</v>
      </c>
      <c r="F125" s="32">
        <v>8</v>
      </c>
      <c r="G125" s="32">
        <v>56</v>
      </c>
      <c r="H125" s="32" t="str">
        <f t="array" ref="H125">CONCATENATE(E125,"x",(MROUND(INDEX('Paslanmaz Fittings'!$A$2:$G$73,MATCH(1,('Paslanmaz Fittings'!$A$2:$A$73=Vanalar!A125)*('Paslanmaz Fittings'!$C$2:$C$73=Vanalar!C125),0),7)+(G125/3),10)),"mm",)</f>
        <v>M20x50mm</v>
      </c>
      <c r="L125"/>
    </row>
    <row r="126" spans="1:12">
      <c r="A126" s="31" t="s">
        <v>11</v>
      </c>
      <c r="B126" s="31" t="s">
        <v>55</v>
      </c>
      <c r="C126" s="31" t="s">
        <v>29</v>
      </c>
      <c r="D126" s="31">
        <v>29.3</v>
      </c>
      <c r="E126" s="31" t="s">
        <v>39</v>
      </c>
      <c r="F126" s="31">
        <v>8</v>
      </c>
      <c r="G126" s="31">
        <v>60</v>
      </c>
      <c r="H126" s="31" t="str">
        <f t="array" ref="H126">CONCATENATE(E126,"x",(MROUND(INDEX('Paslanmaz Fittings'!$A$2:$G$73,MATCH(1,('Paslanmaz Fittings'!$A$2:$A$73=Vanalar!A126)*('Paslanmaz Fittings'!$C$2:$C$73=Vanalar!C126),0),7)+(G126/3),10)),"mm",)</f>
        <v>M20x50mm</v>
      </c>
      <c r="L126"/>
    </row>
    <row r="127" spans="1:12">
      <c r="A127" s="32" t="s">
        <v>12</v>
      </c>
      <c r="B127" s="32" t="s">
        <v>55</v>
      </c>
      <c r="C127" s="32" t="s">
        <v>29</v>
      </c>
      <c r="D127" s="32">
        <v>46.9</v>
      </c>
      <c r="E127" s="32" t="s">
        <v>41</v>
      </c>
      <c r="F127" s="32">
        <v>12</v>
      </c>
      <c r="G127" s="32">
        <v>68</v>
      </c>
      <c r="H127" s="32" t="str">
        <f t="array" ref="H127">CONCATENATE(E127,"x",(MROUND(INDEX('Paslanmaz Fittings'!$A$2:$G$73,MATCH(1,('Paslanmaz Fittings'!$A$2:$A$73=Vanalar!A127)*('Paslanmaz Fittings'!$C$2:$C$73=Vanalar!C127),0),7)+(G127/3),10)),"mm",)</f>
        <v>M24x60mm</v>
      </c>
      <c r="L127"/>
    </row>
    <row r="128" spans="1:12">
      <c r="A128" s="31" t="s">
        <v>13</v>
      </c>
      <c r="B128" s="31" t="s">
        <v>55</v>
      </c>
      <c r="C128" s="31" t="s">
        <v>29</v>
      </c>
      <c r="D128" s="31">
        <v>65</v>
      </c>
      <c r="E128" s="31" t="s">
        <v>41</v>
      </c>
      <c r="F128" s="31">
        <v>12</v>
      </c>
      <c r="G128" s="31">
        <v>78</v>
      </c>
      <c r="H128" s="31" t="str">
        <f t="array" ref="H128">CONCATENATE(E128,"x",(MROUND(INDEX('Paslanmaz Fittings'!$A$2:$G$73,MATCH(1,('Paslanmaz Fittings'!$A$2:$A$73=Vanalar!A128)*('Paslanmaz Fittings'!$C$2:$C$73=Vanalar!C128),0),7)+(G128/3),10)),"mm",)</f>
        <v>M24x60mm</v>
      </c>
      <c r="L128"/>
    </row>
    <row r="129" spans="1:19">
      <c r="A129" s="32" t="s">
        <v>14</v>
      </c>
      <c r="B129" s="32" t="s">
        <v>55</v>
      </c>
      <c r="C129" s="32" t="s">
        <v>29</v>
      </c>
      <c r="D129" s="32">
        <v>96.5</v>
      </c>
      <c r="E129" s="32" t="s">
        <v>42</v>
      </c>
      <c r="F129" s="32">
        <v>16</v>
      </c>
      <c r="G129" s="32">
        <v>78</v>
      </c>
      <c r="H129" s="32" t="str">
        <f t="array" ref="H129">CONCATENATE(E129,"x",(MROUND(INDEX('Paslanmaz Fittings'!$A$2:$G$73,MATCH(1,('Paslanmaz Fittings'!$A$2:$A$73=Vanalar!A129)*('Paslanmaz Fittings'!$C$2:$C$73=Vanalar!C129),0),7)+(G129/3),10)),"mm",)</f>
        <v>M27x70mm</v>
      </c>
      <c r="L129"/>
    </row>
    <row r="130" spans="1:19">
      <c r="A130" s="31" t="s">
        <v>15</v>
      </c>
      <c r="B130" s="31" t="s">
        <v>55</v>
      </c>
      <c r="C130" s="31" t="s">
        <v>29</v>
      </c>
      <c r="D130" s="31">
        <v>128</v>
      </c>
      <c r="E130" s="31" t="s">
        <v>43</v>
      </c>
      <c r="F130" s="31">
        <v>16</v>
      </c>
      <c r="G130" s="31">
        <v>102</v>
      </c>
      <c r="H130" s="31" t="str">
        <f t="array" ref="H130">CONCATENATE(E130,"x",(MROUND(INDEX('Paslanmaz Fittings'!$A$2:$G$73,MATCH(1,('Paslanmaz Fittings'!$A$2:$A$73=Vanalar!A130)*('Paslanmaz Fittings'!$C$2:$C$73=Vanalar!C130),0),7)+(G130/3),10)),"mm",)</f>
        <v>M30x80mm</v>
      </c>
      <c r="L130"/>
    </row>
    <row r="131" spans="1:19">
      <c r="A131" s="32" t="s">
        <v>16</v>
      </c>
      <c r="B131" s="32" t="s">
        <v>55</v>
      </c>
      <c r="C131" s="32" t="s">
        <v>28</v>
      </c>
      <c r="D131" s="32">
        <v>230</v>
      </c>
      <c r="E131" s="32" t="s">
        <v>43</v>
      </c>
      <c r="F131" s="32">
        <v>20</v>
      </c>
      <c r="G131" s="32">
        <v>106</v>
      </c>
      <c r="H131" s="32" t="str">
        <f t="array" ref="H131">CONCATENATE(E131,"x",(MROUND(INDEX('Paslanmaz Fittings'!$A$2:$G$73,MATCH(1,('Paslanmaz Fittings'!$A$2:$A$73=Vanalar!A131)*('Paslanmaz Fittings'!$C$2:$C$73=Vanalar!C131),0),7)+(G131/3),10)),"mm",)</f>
        <v>M30x70mm</v>
      </c>
      <c r="L131"/>
    </row>
    <row r="132" spans="1:19">
      <c r="A132" s="31" t="s">
        <v>17</v>
      </c>
      <c r="B132" s="31" t="s">
        <v>55</v>
      </c>
      <c r="C132" s="31" t="s">
        <v>28</v>
      </c>
      <c r="D132" s="31">
        <v>270</v>
      </c>
      <c r="E132" s="31" t="s">
        <v>44</v>
      </c>
      <c r="F132" s="31">
        <v>20</v>
      </c>
      <c r="G132" s="31">
        <v>110</v>
      </c>
      <c r="H132" s="31" t="str">
        <f t="array" ref="H132">CONCATENATE(E132,"x",(MROUND(INDEX('Paslanmaz Fittings'!$A$2:$G$73,MATCH(1,('Paslanmaz Fittings'!$A$2:$A$73=Vanalar!A132)*('Paslanmaz Fittings'!$C$2:$C$73=Vanalar!C132),0),7)+(G132/3),10)),"mm",)</f>
        <v>M33x70mm</v>
      </c>
      <c r="L132"/>
    </row>
    <row r="133" spans="1:19">
      <c r="A133" s="32" t="s">
        <v>18</v>
      </c>
      <c r="B133" s="32" t="s">
        <v>55</v>
      </c>
      <c r="C133" s="32" t="s">
        <v>28</v>
      </c>
      <c r="D133" s="32">
        <v>250</v>
      </c>
      <c r="E133" s="32" t="s">
        <v>44</v>
      </c>
      <c r="F133" s="32">
        <v>20</v>
      </c>
      <c r="G133" s="32">
        <v>110</v>
      </c>
      <c r="H133" s="32" t="str">
        <f t="array" ref="H133">CONCATENATE(E133,"x",(MROUND(INDEX('Paslanmaz Fittings'!$A$2:$G$73,MATCH(1,('Paslanmaz Fittings'!$A$2:$A$73=Vanalar!A133)*('Paslanmaz Fittings'!$C$2:$C$73=Vanalar!C133),0),7)+(G133/3),10)),"mm",)</f>
        <v>M33x70mm</v>
      </c>
      <c r="L133"/>
    </row>
    <row r="134" spans="1:19">
      <c r="H134" s="31"/>
      <c r="L134"/>
    </row>
    <row r="135" spans="1:19">
      <c r="A135" s="31" t="s">
        <v>4</v>
      </c>
      <c r="B135" s="31" t="s">
        <v>54</v>
      </c>
      <c r="C135" s="31" t="s">
        <v>29</v>
      </c>
      <c r="D135" s="31">
        <v>8.4</v>
      </c>
      <c r="E135" s="31" t="s">
        <v>38</v>
      </c>
      <c r="F135" s="31">
        <v>4</v>
      </c>
      <c r="G135" s="31">
        <v>140</v>
      </c>
      <c r="H135" s="25" t="str">
        <f t="array" ref="H135">CONCATENATE(E135,"x",(MROUND(INDEX('Paslanmaz Fittings'!$A$2:$G$73,MATCH(1,('Paslanmaz Fittings'!$A$2:$A$73=Vanalar!A135)*('Paslanmaz Fittings'!$C$2:$C$73=Vanalar!C135),0),7)*(3.14),10)),"mm",)</f>
        <v>M16x60mm</v>
      </c>
      <c r="L135"/>
    </row>
    <row r="136" spans="1:19">
      <c r="A136" s="32" t="s">
        <v>4</v>
      </c>
      <c r="B136" s="32" t="s">
        <v>54</v>
      </c>
      <c r="C136" s="32" t="s">
        <v>30</v>
      </c>
      <c r="D136" s="32">
        <v>8.4</v>
      </c>
      <c r="E136" s="32" t="s">
        <v>38</v>
      </c>
      <c r="F136" s="32">
        <v>4</v>
      </c>
      <c r="G136" s="32">
        <v>140</v>
      </c>
      <c r="H136" s="26" t="str">
        <f t="array" ref="H136">CONCATENATE(E136,"x",(MROUND(INDEX('Paslanmaz Fittings'!$A$2:$G$73,MATCH(1,('Paslanmaz Fittings'!$A$2:$A$73=Vanalar!A136)*('Paslanmaz Fittings'!$C$2:$C$73=Vanalar!C136),0),7)*(3.14),10)),"mm",)</f>
        <v>M16x60mm</v>
      </c>
      <c r="L136"/>
    </row>
    <row r="137" spans="1:19">
      <c r="A137" s="31" t="s">
        <v>5</v>
      </c>
      <c r="B137" s="31" t="s">
        <v>54</v>
      </c>
      <c r="C137" s="31" t="s">
        <v>29</v>
      </c>
      <c r="D137" s="31">
        <v>8.6</v>
      </c>
      <c r="E137" s="31" t="s">
        <v>38</v>
      </c>
      <c r="F137" s="31">
        <v>4</v>
      </c>
      <c r="G137" s="31">
        <v>150</v>
      </c>
      <c r="H137" s="25" t="str">
        <f t="array" ref="H137">CONCATENATE(E137,"x",(MROUND(INDEX('Paslanmaz Fittings'!$A$2:$G$73,MATCH(1,('Paslanmaz Fittings'!$A$2:$A$73=Vanalar!A137)*('Paslanmaz Fittings'!$C$2:$C$73=Vanalar!C137),0),7)*(3.14),10)),"mm",)</f>
        <v>M16x60mm</v>
      </c>
      <c r="L137"/>
    </row>
    <row r="138" spans="1:19">
      <c r="A138" s="32" t="s">
        <v>5</v>
      </c>
      <c r="B138" s="32" t="s">
        <v>54</v>
      </c>
      <c r="C138" s="32" t="s">
        <v>30</v>
      </c>
      <c r="D138" s="32">
        <v>8.6</v>
      </c>
      <c r="E138" s="32" t="s">
        <v>38</v>
      </c>
      <c r="F138" s="32">
        <v>4</v>
      </c>
      <c r="G138" s="32">
        <v>150</v>
      </c>
      <c r="H138" s="26" t="str">
        <f t="array" ref="H138">CONCATENATE(E138,"x",(MROUND(INDEX('Paslanmaz Fittings'!$A$2:$G$73,MATCH(1,('Paslanmaz Fittings'!$A$2:$A$73=Vanalar!A138)*('Paslanmaz Fittings'!$C$2:$C$73=Vanalar!C138),0),7)*(3.14),10)),"mm",)</f>
        <v>M16x60mm</v>
      </c>
      <c r="L138"/>
    </row>
    <row r="139" spans="1:19">
      <c r="A139" s="31" t="s">
        <v>6</v>
      </c>
      <c r="B139" s="31" t="s">
        <v>54</v>
      </c>
      <c r="C139" s="31" t="s">
        <v>29</v>
      </c>
      <c r="D139" s="31">
        <v>11.5</v>
      </c>
      <c r="E139" s="31" t="s">
        <v>38</v>
      </c>
      <c r="F139" s="31">
        <v>4</v>
      </c>
      <c r="G139" s="31">
        <v>170</v>
      </c>
      <c r="H139" s="25" t="str">
        <f t="array" ref="H139">CONCATENATE(E139,"x",(MROUND(INDEX('Paslanmaz Fittings'!$A$2:$G$73,MATCH(1,('Paslanmaz Fittings'!$A$2:$A$73=Vanalar!A139)*('Paslanmaz Fittings'!$C$2:$C$73=Vanalar!C139),0),7)*(3.14),10)),"mm",)</f>
        <v>M16x70mm</v>
      </c>
      <c r="L139"/>
    </row>
    <row r="140" spans="1:19">
      <c r="A140" s="32" t="s">
        <v>6</v>
      </c>
      <c r="B140" s="32" t="s">
        <v>54</v>
      </c>
      <c r="C140" s="32" t="s">
        <v>30</v>
      </c>
      <c r="D140" s="32">
        <v>11.5</v>
      </c>
      <c r="E140" s="32" t="s">
        <v>38</v>
      </c>
      <c r="F140" s="32">
        <v>4</v>
      </c>
      <c r="G140" s="32">
        <v>170</v>
      </c>
      <c r="H140" s="26" t="str">
        <f t="array" ref="H140">CONCATENATE(E140,"x",(MROUND(INDEX('Paslanmaz Fittings'!$A$2:$G$73,MATCH(1,('Paslanmaz Fittings'!$A$2:$A$73=Vanalar!A140)*('Paslanmaz Fittings'!$C$2:$C$73=Vanalar!C140),0),7)*(3.14),10)),"mm",)</f>
        <v>M16x60mm</v>
      </c>
      <c r="L140"/>
    </row>
    <row r="141" spans="1:19">
      <c r="A141" s="31" t="s">
        <v>7</v>
      </c>
      <c r="B141" s="31" t="s">
        <v>54</v>
      </c>
      <c r="C141" s="31" t="s">
        <v>29</v>
      </c>
      <c r="D141" s="31">
        <v>13.5</v>
      </c>
      <c r="E141" s="31" t="s">
        <v>38</v>
      </c>
      <c r="F141" s="31">
        <v>8</v>
      </c>
      <c r="G141" s="31">
        <v>180</v>
      </c>
      <c r="H141" s="25" t="str">
        <f t="array" ref="H141">CONCATENATE(E141,"x",(MROUND(INDEX('Paslanmaz Fittings'!$A$2:$G$73,MATCH(1,('Paslanmaz Fittings'!$A$2:$A$73=Vanalar!A141)*('Paslanmaz Fittings'!$C$2:$C$73=Vanalar!C141),0),7)*(3.14),10)),"mm",)</f>
        <v>M16x80mm</v>
      </c>
      <c r="L141"/>
      <c r="N141" s="33"/>
      <c r="O141" s="33"/>
      <c r="P141" s="33"/>
      <c r="Q141" s="34"/>
      <c r="R141" s="33"/>
      <c r="S141" s="33"/>
    </row>
    <row r="142" spans="1:19">
      <c r="A142" s="32" t="s">
        <v>7</v>
      </c>
      <c r="B142" s="32" t="s">
        <v>54</v>
      </c>
      <c r="C142" s="32" t="s">
        <v>30</v>
      </c>
      <c r="D142" s="32">
        <v>13.5</v>
      </c>
      <c r="E142" s="32" t="s">
        <v>38</v>
      </c>
      <c r="F142" s="32">
        <v>8</v>
      </c>
      <c r="G142" s="32">
        <v>180</v>
      </c>
      <c r="H142" s="26" t="str">
        <f t="array" ref="H142">CONCATENATE(E142,"x",(MROUND(INDEX('Paslanmaz Fittings'!$A$2:$G$73,MATCH(1,('Paslanmaz Fittings'!$A$2:$A$73=Vanalar!A142)*('Paslanmaz Fittings'!$C$2:$C$73=Vanalar!C142),0),7)*(3.14),10)),"mm",)</f>
        <v>M16x60mm</v>
      </c>
      <c r="L142"/>
      <c r="N142" s="33"/>
      <c r="O142" s="33"/>
      <c r="P142" s="33"/>
      <c r="Q142" s="34"/>
      <c r="R142" s="33"/>
      <c r="S142" s="33"/>
    </row>
    <row r="143" spans="1:19">
      <c r="A143" s="31" t="s">
        <v>8</v>
      </c>
      <c r="B143" s="31" t="s">
        <v>54</v>
      </c>
      <c r="C143" s="31" t="s">
        <v>29</v>
      </c>
      <c r="D143" s="31">
        <v>18.5</v>
      </c>
      <c r="E143" s="31" t="s">
        <v>38</v>
      </c>
      <c r="F143" s="31">
        <v>8</v>
      </c>
      <c r="G143" s="31">
        <v>190</v>
      </c>
      <c r="H143" s="25" t="str">
        <f t="array" ref="H143">CONCATENATE(E143,"x",(MROUND(INDEX('Paslanmaz Fittings'!$A$2:$G$73,MATCH(1,('Paslanmaz Fittings'!$A$2:$A$73=Vanalar!A143)*('Paslanmaz Fittings'!$C$2:$C$73=Vanalar!C143),0),7)*(3.14),10)),"mm",)</f>
        <v>M16x80mm</v>
      </c>
      <c r="L143"/>
      <c r="N143" s="33"/>
      <c r="O143" s="33"/>
      <c r="P143" s="33"/>
      <c r="Q143" s="34"/>
      <c r="R143" s="33"/>
      <c r="S143" s="33"/>
    </row>
    <row r="144" spans="1:19">
      <c r="A144" s="32" t="s">
        <v>8</v>
      </c>
      <c r="B144" s="32" t="s">
        <v>54</v>
      </c>
      <c r="C144" s="32" t="s">
        <v>30</v>
      </c>
      <c r="D144" s="32">
        <v>18.5</v>
      </c>
      <c r="E144" s="32" t="s">
        <v>38</v>
      </c>
      <c r="F144" s="32">
        <v>8</v>
      </c>
      <c r="G144" s="32">
        <v>190</v>
      </c>
      <c r="H144" s="26" t="str">
        <f t="array" ref="H144">CONCATENATE(E144,"x",(MROUND(INDEX('Paslanmaz Fittings'!$A$2:$G$73,MATCH(1,('Paslanmaz Fittings'!$A$2:$A$73=Vanalar!A144)*('Paslanmaz Fittings'!$C$2:$C$73=Vanalar!C144),0),7)*(3.14),10)),"mm",)</f>
        <v>M16x70mm</v>
      </c>
      <c r="L144"/>
      <c r="N144" s="33"/>
      <c r="O144" s="33"/>
      <c r="P144" s="33"/>
      <c r="Q144" s="34"/>
      <c r="R144" s="33"/>
      <c r="S144" s="33"/>
    </row>
    <row r="145" spans="1:19">
      <c r="A145" s="31" t="s">
        <v>9</v>
      </c>
      <c r="B145" s="31" t="s">
        <v>54</v>
      </c>
      <c r="C145" s="31" t="s">
        <v>29</v>
      </c>
      <c r="D145" s="31">
        <v>24.1</v>
      </c>
      <c r="E145" s="31" t="s">
        <v>38</v>
      </c>
      <c r="F145" s="31">
        <v>8</v>
      </c>
      <c r="G145" s="31">
        <v>200</v>
      </c>
      <c r="H145" s="25" t="str">
        <f t="array" ref="H145">CONCATENATE(E145,"x",(MROUND(INDEX('Paslanmaz Fittings'!$A$2:$G$73,MATCH(1,('Paslanmaz Fittings'!$A$2:$A$73=Vanalar!A145)*('Paslanmaz Fittings'!$C$2:$C$73=Vanalar!C145),0),7)*(3.14),10)),"mm",)</f>
        <v>M16x90mm</v>
      </c>
      <c r="L145"/>
      <c r="N145" s="33"/>
      <c r="O145" s="33"/>
      <c r="P145" s="33"/>
      <c r="Q145" s="34"/>
      <c r="R145" s="33"/>
      <c r="S145" s="33"/>
    </row>
    <row r="146" spans="1:19">
      <c r="A146" s="32" t="s">
        <v>9</v>
      </c>
      <c r="B146" s="32" t="s">
        <v>54</v>
      </c>
      <c r="C146" s="32" t="s">
        <v>30</v>
      </c>
      <c r="D146" s="32">
        <v>24.1</v>
      </c>
      <c r="E146" s="32" t="s">
        <v>38</v>
      </c>
      <c r="F146" s="32">
        <v>8</v>
      </c>
      <c r="G146" s="32">
        <v>200</v>
      </c>
      <c r="H146" s="26" t="str">
        <f t="array" ref="H146">CONCATENATE(E146,"x",(MROUND(INDEX('Paslanmaz Fittings'!$A$2:$G$73,MATCH(1,('Paslanmaz Fittings'!$A$2:$A$73=Vanalar!A146)*('Paslanmaz Fittings'!$C$2:$C$73=Vanalar!C146),0),7)*(3.14),10)),"mm",)</f>
        <v>M16x70mm</v>
      </c>
      <c r="L146"/>
      <c r="N146" s="33"/>
      <c r="O146" s="33"/>
      <c r="P146" s="33"/>
      <c r="Q146" s="34"/>
      <c r="R146" s="33"/>
      <c r="S146" s="33"/>
    </row>
    <row r="147" spans="1:19">
      <c r="A147" s="31" t="s">
        <v>10</v>
      </c>
      <c r="B147" s="31" t="s">
        <v>54</v>
      </c>
      <c r="C147" s="31" t="s">
        <v>29</v>
      </c>
      <c r="D147" s="31">
        <v>31.7</v>
      </c>
      <c r="E147" s="31" t="s">
        <v>39</v>
      </c>
      <c r="F147" s="31">
        <v>8</v>
      </c>
      <c r="G147" s="31">
        <v>210</v>
      </c>
      <c r="H147" s="25" t="str">
        <f t="array" ref="H147">CONCATENATE(E147,"x",(MROUND(INDEX('Paslanmaz Fittings'!$A$2:$G$73,MATCH(1,('Paslanmaz Fittings'!$A$2:$A$73=Vanalar!A147)*('Paslanmaz Fittings'!$C$2:$C$73=Vanalar!C147),0),7)*(3.14),10)),"mm",)</f>
        <v>M20x90mm</v>
      </c>
      <c r="L147"/>
      <c r="N147" s="33"/>
      <c r="O147" s="33"/>
      <c r="P147" s="33"/>
      <c r="Q147" s="34"/>
      <c r="R147" s="33"/>
      <c r="S147" s="33"/>
    </row>
    <row r="148" spans="1:19">
      <c r="A148" s="32" t="s">
        <v>10</v>
      </c>
      <c r="B148" s="32" t="s">
        <v>54</v>
      </c>
      <c r="C148" s="32" t="s">
        <v>30</v>
      </c>
      <c r="D148" s="32">
        <v>31.7</v>
      </c>
      <c r="E148" s="32" t="s">
        <v>39</v>
      </c>
      <c r="F148" s="32">
        <v>8</v>
      </c>
      <c r="G148" s="32">
        <v>210</v>
      </c>
      <c r="H148" s="26" t="str">
        <f t="array" ref="H148">CONCATENATE(E148,"x",(MROUND(INDEX('Paslanmaz Fittings'!$A$2:$G$73,MATCH(1,('Paslanmaz Fittings'!$A$2:$A$73=Vanalar!A148)*('Paslanmaz Fittings'!$C$2:$C$73=Vanalar!C148),0),7)*(3.14),10)),"mm",)</f>
        <v>M20x80mm</v>
      </c>
      <c r="L148"/>
      <c r="N148" s="33"/>
      <c r="O148" s="33"/>
      <c r="P148" s="33"/>
      <c r="Q148" s="34"/>
      <c r="R148" s="33"/>
      <c r="S148" s="33"/>
    </row>
    <row r="149" spans="1:19">
      <c r="A149" s="31" t="s">
        <v>11</v>
      </c>
      <c r="B149" s="31" t="s">
        <v>54</v>
      </c>
      <c r="C149" s="31" t="s">
        <v>29</v>
      </c>
      <c r="D149" s="31">
        <v>51.2</v>
      </c>
      <c r="E149" s="31" t="s">
        <v>39</v>
      </c>
      <c r="F149" s="31">
        <v>8</v>
      </c>
      <c r="G149" s="31">
        <v>230</v>
      </c>
      <c r="H149" s="25" t="str">
        <f t="array" ref="H149">CONCATENATE(E149,"x",(MROUND(INDEX('Paslanmaz Fittings'!$A$2:$G$73,MATCH(1,('Paslanmaz Fittings'!$A$2:$A$73=Vanalar!A149)*('Paslanmaz Fittings'!$C$2:$C$73=Vanalar!C149),0),7)*(3.14),10)),"mm",)</f>
        <v>M20x100mm</v>
      </c>
      <c r="L149"/>
      <c r="N149" s="33"/>
      <c r="O149" s="33"/>
      <c r="P149" s="33"/>
      <c r="Q149" s="34"/>
      <c r="R149" s="33"/>
      <c r="S149" s="33"/>
    </row>
    <row r="150" spans="1:19">
      <c r="A150" s="32" t="s">
        <v>11</v>
      </c>
      <c r="B150" s="32" t="s">
        <v>54</v>
      </c>
      <c r="C150" s="32" t="s">
        <v>30</v>
      </c>
      <c r="D150" s="32">
        <v>51.2</v>
      </c>
      <c r="E150" s="32" t="s">
        <v>39</v>
      </c>
      <c r="F150" s="32">
        <v>12</v>
      </c>
      <c r="G150" s="32">
        <v>230</v>
      </c>
      <c r="H150" s="26" t="str">
        <f t="array" ref="H150">CONCATENATE(E150,"x",(MROUND(INDEX('Paslanmaz Fittings'!$A$2:$G$73,MATCH(1,('Paslanmaz Fittings'!$A$2:$A$73=Vanalar!A150)*('Paslanmaz Fittings'!$C$2:$C$73=Vanalar!C150),0),7)*(3.14),10)),"mm",)</f>
        <v>M20x80mm</v>
      </c>
      <c r="L150"/>
      <c r="N150" s="33"/>
      <c r="O150" s="33"/>
      <c r="P150" s="33"/>
      <c r="Q150" s="34"/>
      <c r="R150" s="33"/>
      <c r="S150" s="33"/>
    </row>
    <row r="151" spans="1:19">
      <c r="A151" s="31" t="s">
        <v>12</v>
      </c>
      <c r="B151" s="31" t="s">
        <v>54</v>
      </c>
      <c r="C151" s="31" t="s">
        <v>29</v>
      </c>
      <c r="D151" s="31">
        <v>94.8</v>
      </c>
      <c r="E151" s="31" t="s">
        <v>39</v>
      </c>
      <c r="F151" s="31">
        <v>12</v>
      </c>
      <c r="G151" s="31">
        <v>250</v>
      </c>
      <c r="H151" s="25" t="str">
        <f t="array" ref="H151">CONCATENATE(E151,"x",(MROUND(INDEX('Paslanmaz Fittings'!$A$2:$G$73,MATCH(1,('Paslanmaz Fittings'!$A$2:$A$73=Vanalar!A151)*('Paslanmaz Fittings'!$C$2:$C$73=Vanalar!C151),0),7)*(3.14),10)),"mm",)</f>
        <v>M20x110mm</v>
      </c>
      <c r="L151"/>
      <c r="N151" s="33"/>
      <c r="O151" s="33"/>
      <c r="P151" s="33"/>
      <c r="Q151" s="34"/>
      <c r="R151" s="33"/>
      <c r="S151" s="33"/>
    </row>
    <row r="152" spans="1:19">
      <c r="A152" s="32" t="s">
        <v>12</v>
      </c>
      <c r="B152" s="32" t="s">
        <v>54</v>
      </c>
      <c r="C152" s="32" t="s">
        <v>30</v>
      </c>
      <c r="D152" s="32">
        <v>93.3</v>
      </c>
      <c r="E152" s="32" t="s">
        <v>41</v>
      </c>
      <c r="F152" s="32">
        <v>12</v>
      </c>
      <c r="G152" s="32">
        <v>250</v>
      </c>
      <c r="H152" s="26" t="str">
        <f t="array" ref="H152">CONCATENATE(E152,"x",(MROUND(INDEX('Paslanmaz Fittings'!$A$2:$G$73,MATCH(1,('Paslanmaz Fittings'!$A$2:$A$73=Vanalar!A152)*('Paslanmaz Fittings'!$C$2:$C$73=Vanalar!C152),0),7)*(3.14),10)),"mm",)</f>
        <v>M24x90mm</v>
      </c>
      <c r="L152"/>
      <c r="N152" s="33"/>
      <c r="O152" s="33"/>
      <c r="P152" s="33"/>
      <c r="Q152" s="34"/>
      <c r="R152" s="33"/>
      <c r="S152" s="33"/>
    </row>
    <row r="153" spans="1:19">
      <c r="A153" s="31" t="s">
        <v>13</v>
      </c>
      <c r="B153" s="31" t="s">
        <v>54</v>
      </c>
      <c r="C153" s="31" t="s">
        <v>29</v>
      </c>
      <c r="D153" s="31">
        <v>122.1</v>
      </c>
      <c r="E153" s="31" t="s">
        <v>39</v>
      </c>
      <c r="F153" s="31">
        <v>12</v>
      </c>
      <c r="G153" s="31">
        <v>270</v>
      </c>
      <c r="H153" s="25" t="str">
        <f t="array" ref="H153">CONCATENATE(E153,"x",(MROUND(INDEX('Paslanmaz Fittings'!$A$2:$G$73,MATCH(1,('Paslanmaz Fittings'!$A$2:$A$73=Vanalar!A153)*('Paslanmaz Fittings'!$C$2:$C$73=Vanalar!C153),0),7)*(3.14),10)),"mm",)</f>
        <v>M20x120mm</v>
      </c>
      <c r="L153"/>
      <c r="N153" s="33"/>
      <c r="O153" s="33"/>
      <c r="P153" s="33"/>
      <c r="Q153" s="34"/>
      <c r="R153" s="33"/>
      <c r="S153" s="33"/>
    </row>
    <row r="154" spans="1:19">
      <c r="A154" s="32" t="s">
        <v>13</v>
      </c>
      <c r="B154" s="32" t="s">
        <v>54</v>
      </c>
      <c r="C154" s="32" t="s">
        <v>30</v>
      </c>
      <c r="D154" s="32">
        <v>120.5</v>
      </c>
      <c r="E154" s="32" t="s">
        <v>41</v>
      </c>
      <c r="F154" s="32">
        <v>12</v>
      </c>
      <c r="G154" s="32">
        <v>270</v>
      </c>
      <c r="H154" s="26" t="str">
        <f t="array" ref="H154">CONCATENATE(E154,"x",(MROUND(INDEX('Paslanmaz Fittings'!$A$2:$G$73,MATCH(1,('Paslanmaz Fittings'!$A$2:$A$73=Vanalar!A154)*('Paslanmaz Fittings'!$C$2:$C$73=Vanalar!C154),0),7)*(3.14),10)),"mm",)</f>
        <v>M24x100mm</v>
      </c>
      <c r="L154"/>
      <c r="N154" s="33"/>
      <c r="O154" s="33"/>
      <c r="P154" s="33"/>
      <c r="Q154" s="34"/>
      <c r="R154" s="33"/>
      <c r="S154" s="33"/>
    </row>
    <row r="155" spans="1:19">
      <c r="A155" s="31" t="s">
        <v>14</v>
      </c>
      <c r="B155" s="31" t="s">
        <v>54</v>
      </c>
      <c r="C155" s="31" t="s">
        <v>29</v>
      </c>
      <c r="D155" s="31">
        <v>190</v>
      </c>
      <c r="E155" s="31" t="s">
        <v>39</v>
      </c>
      <c r="F155" s="31">
        <v>16</v>
      </c>
      <c r="G155" s="31">
        <v>290</v>
      </c>
      <c r="H155" s="25" t="str">
        <f t="array" ref="H155">CONCATENATE(E155,"x",(MROUND(INDEX('Paslanmaz Fittings'!$A$2:$G$73,MATCH(1,('Paslanmaz Fittings'!$A$2:$A$73=Vanalar!A155)*('Paslanmaz Fittings'!$C$2:$C$73=Vanalar!C155),0),7)*(3.14),10)),"mm",)</f>
        <v>M20x130mm</v>
      </c>
      <c r="L155"/>
      <c r="N155" s="33"/>
      <c r="O155" s="33"/>
      <c r="P155" s="33"/>
      <c r="Q155" s="34"/>
      <c r="R155" s="33"/>
      <c r="S155" s="33"/>
    </row>
    <row r="156" spans="1:19">
      <c r="A156" s="32" t="s">
        <v>14</v>
      </c>
      <c r="B156" s="32" t="s">
        <v>54</v>
      </c>
      <c r="C156" s="32" t="s">
        <v>30</v>
      </c>
      <c r="D156" s="32">
        <v>190.4</v>
      </c>
      <c r="E156" s="32" t="s">
        <v>41</v>
      </c>
      <c r="F156" s="32">
        <v>16</v>
      </c>
      <c r="G156" s="32">
        <v>290</v>
      </c>
      <c r="H156" s="26" t="str">
        <f t="array" ref="H156">CONCATENATE(E156,"x",(MROUND(INDEX('Paslanmaz Fittings'!$A$2:$G$73,MATCH(1,('Paslanmaz Fittings'!$A$2:$A$73=Vanalar!A156)*('Paslanmaz Fittings'!$C$2:$C$73=Vanalar!C156),0),7)*(3.14),10)),"mm",)</f>
        <v>M24x110mm</v>
      </c>
      <c r="L156"/>
      <c r="N156" s="33"/>
      <c r="O156" s="33"/>
      <c r="P156" s="33"/>
      <c r="Q156" s="34"/>
      <c r="R156" s="33"/>
      <c r="S156" s="33"/>
    </row>
    <row r="157" spans="1:19">
      <c r="A157" s="31" t="s">
        <v>15</v>
      </c>
      <c r="B157" s="31" t="s">
        <v>54</v>
      </c>
      <c r="C157" s="31" t="s">
        <v>29</v>
      </c>
      <c r="D157" s="31">
        <v>248.2</v>
      </c>
      <c r="E157" s="31" t="s">
        <v>41</v>
      </c>
      <c r="F157" s="31">
        <v>16</v>
      </c>
      <c r="G157" s="31">
        <v>310</v>
      </c>
      <c r="H157" s="25" t="str">
        <f t="array" ref="H157">CONCATENATE(E157,"x",(MROUND(INDEX('Paslanmaz Fittings'!$A$2:$G$73,MATCH(1,('Paslanmaz Fittings'!$A$2:$A$73=Vanalar!A157)*('Paslanmaz Fittings'!$C$2:$C$73=Vanalar!C157),0),7)*(3.14),10)),"mm",)</f>
        <v>M24x140mm</v>
      </c>
      <c r="L157"/>
      <c r="N157" s="33"/>
      <c r="O157" s="33"/>
      <c r="P157" s="33"/>
      <c r="Q157" s="34"/>
      <c r="R157" s="33"/>
      <c r="S157" s="33"/>
    </row>
    <row r="158" spans="1:19">
      <c r="A158" s="32" t="s">
        <v>15</v>
      </c>
      <c r="B158" s="32" t="s">
        <v>54</v>
      </c>
      <c r="C158" s="32" t="s">
        <v>30</v>
      </c>
      <c r="D158" s="32">
        <v>230.1</v>
      </c>
      <c r="E158" s="32" t="s">
        <v>42</v>
      </c>
      <c r="F158" s="32">
        <v>16</v>
      </c>
      <c r="G158" s="32">
        <v>310</v>
      </c>
      <c r="H158" s="26" t="str">
        <f t="array" ref="H158">CONCATENATE(E158,"x",(MROUND(INDEX('Paslanmaz Fittings'!$A$2:$G$73,MATCH(1,('Paslanmaz Fittings'!$A$2:$A$73=Vanalar!A158)*('Paslanmaz Fittings'!$C$2:$C$73=Vanalar!C158),0),7)*(3.14),10)),"mm",)</f>
        <v>M27x120mm</v>
      </c>
      <c r="L158"/>
      <c r="N158" s="33"/>
      <c r="O158" s="33"/>
      <c r="P158" s="33"/>
      <c r="Q158" s="34"/>
      <c r="R158" s="33"/>
      <c r="S158" s="33"/>
    </row>
    <row r="159" spans="1:19">
      <c r="A159" s="31" t="s">
        <v>17</v>
      </c>
      <c r="B159" s="31" t="s">
        <v>54</v>
      </c>
      <c r="C159" s="31" t="s">
        <v>29</v>
      </c>
      <c r="D159" s="31">
        <v>412</v>
      </c>
      <c r="E159" s="31" t="s">
        <v>41</v>
      </c>
      <c r="F159" s="31">
        <v>20</v>
      </c>
      <c r="G159" s="31">
        <v>350</v>
      </c>
      <c r="H159" s="25" t="str">
        <f t="array" ref="H159">CONCATENATE(E159,"x",(MROUND(INDEX('Paslanmaz Fittings'!$A$2:$G$73,MATCH(1,('Paslanmaz Fittings'!$A$2:$A$73=Vanalar!A159)*('Paslanmaz Fittings'!$C$2:$C$73=Vanalar!C159),0),7)*(3.14),10)),"mm",)</f>
        <v>M24x180mm</v>
      </c>
      <c r="L159"/>
      <c r="N159" s="33"/>
      <c r="O159" s="33"/>
      <c r="P159" s="33"/>
      <c r="Q159" s="34"/>
      <c r="R159" s="33"/>
      <c r="S159" s="33"/>
    </row>
    <row r="160" spans="1:19">
      <c r="A160" s="32" t="s">
        <v>17</v>
      </c>
      <c r="B160" s="32" t="s">
        <v>54</v>
      </c>
      <c r="C160" s="32" t="s">
        <v>30</v>
      </c>
      <c r="D160" s="32">
        <v>412</v>
      </c>
      <c r="E160" s="32" t="s">
        <v>43</v>
      </c>
      <c r="F160" s="32">
        <v>20</v>
      </c>
      <c r="G160" s="32">
        <v>350</v>
      </c>
      <c r="H160" s="26" t="str">
        <f t="array" ref="H160">CONCATENATE(E160,"x",(MROUND(INDEX('Paslanmaz Fittings'!$A$2:$G$73,MATCH(1,('Paslanmaz Fittings'!$A$2:$A$73=Vanalar!A160)*('Paslanmaz Fittings'!$C$2:$C$73=Vanalar!C160),0),7)*(3.14),10)),"mm",)</f>
        <v>M30x140mm</v>
      </c>
      <c r="L160"/>
      <c r="N160" s="33"/>
      <c r="O160" s="33"/>
      <c r="P160" s="33"/>
      <c r="Q160" s="34"/>
      <c r="R160" s="33"/>
      <c r="S160" s="33"/>
    </row>
    <row r="161" spans="1:19">
      <c r="A161" s="31" t="s">
        <v>18</v>
      </c>
      <c r="B161" s="31" t="s">
        <v>54</v>
      </c>
      <c r="C161" s="31" t="s">
        <v>29</v>
      </c>
      <c r="D161" s="31">
        <v>613</v>
      </c>
      <c r="E161" s="31" t="s">
        <v>42</v>
      </c>
      <c r="F161" s="31">
        <v>20</v>
      </c>
      <c r="G161" s="31">
        <v>390</v>
      </c>
      <c r="H161" s="25" t="str">
        <f t="array" ref="H161">CONCATENATE(E161,"x",(MROUND(INDEX('Paslanmaz Fittings'!$A$2:$G$73,MATCH(1,('Paslanmaz Fittings'!$A$2:$A$73=Vanalar!A161)*('Paslanmaz Fittings'!$C$2:$C$73=Vanalar!C161),0),7)*(3.14),10)),"mm",)</f>
        <v>M27x210mm</v>
      </c>
      <c r="L161"/>
      <c r="N161" s="33"/>
      <c r="O161" s="33"/>
      <c r="P161" s="33"/>
      <c r="Q161" s="34"/>
      <c r="R161" s="33"/>
      <c r="S161" s="33"/>
    </row>
    <row r="162" spans="1:19">
      <c r="A162" s="32" t="s">
        <v>18</v>
      </c>
      <c r="B162" s="32" t="s">
        <v>54</v>
      </c>
      <c r="C162" s="32" t="s">
        <v>30</v>
      </c>
      <c r="D162" s="32">
        <v>620</v>
      </c>
      <c r="E162" s="32" t="s">
        <v>44</v>
      </c>
      <c r="F162" s="32">
        <v>20</v>
      </c>
      <c r="G162" s="32">
        <v>390</v>
      </c>
      <c r="H162" s="26" t="str">
        <f t="array" ref="H162">CONCATENATE(E162,"x",(MROUND(INDEX('Paslanmaz Fittings'!$A$2:$G$73,MATCH(1,('Paslanmaz Fittings'!$A$2:$A$73=Vanalar!A162)*('Paslanmaz Fittings'!$C$2:$C$73=Vanalar!C162),0),7)*(3.14),10)),"mm",)</f>
        <v>M33x160mm</v>
      </c>
      <c r="L162"/>
      <c r="N162" s="33"/>
      <c r="O162" s="33"/>
      <c r="P162" s="33"/>
      <c r="Q162" s="34"/>
      <c r="R162" s="33"/>
      <c r="S162" s="33"/>
    </row>
    <row r="163" spans="1:19">
      <c r="H163" s="25"/>
      <c r="L163"/>
      <c r="N163" s="33"/>
      <c r="O163" s="33"/>
      <c r="P163" s="33"/>
      <c r="Q163" s="34"/>
      <c r="R163" s="33"/>
      <c r="S163" s="33"/>
    </row>
    <row r="164" spans="1:19">
      <c r="A164" s="31" t="s">
        <v>4</v>
      </c>
      <c r="B164" s="31" t="s">
        <v>63</v>
      </c>
      <c r="C164" s="31" t="s">
        <v>30</v>
      </c>
      <c r="D164" s="31">
        <v>2.5</v>
      </c>
      <c r="E164" s="31" t="s">
        <v>38</v>
      </c>
      <c r="F164" s="31">
        <v>4</v>
      </c>
      <c r="G164" s="31">
        <v>33</v>
      </c>
      <c r="H164" s="26" t="str">
        <f t="array" ref="H164">CONCATENATE(E164,"x",(MROUND(INDEX('Paslanmaz Fittings'!$A$2:$G$73,MATCH(1,('Paslanmaz Fittings'!$A$2:$A$73=Vanalar!A164)*('Paslanmaz Fittings'!$C$2:$C$73=Vanalar!C164),0),7)+(G164/3),10)),"mm",)</f>
        <v>M16x30mm</v>
      </c>
      <c r="L164"/>
    </row>
    <row r="165" spans="1:19">
      <c r="A165" s="32" t="s">
        <v>5</v>
      </c>
      <c r="B165" s="32" t="s">
        <v>63</v>
      </c>
      <c r="C165" s="32" t="s">
        <v>30</v>
      </c>
      <c r="D165" s="32">
        <v>3.2</v>
      </c>
      <c r="E165" s="32" t="s">
        <v>38</v>
      </c>
      <c r="F165" s="32">
        <v>4</v>
      </c>
      <c r="G165" s="32">
        <v>43</v>
      </c>
      <c r="H165" s="26" t="str">
        <f t="array" ref="H165">CONCATENATE(E165,"x",(MROUND(INDEX('Paslanmaz Fittings'!$A$2:$G$73,MATCH(1,('Paslanmaz Fittings'!$A$2:$A$73=Vanalar!A165)*('Paslanmaz Fittings'!$C$2:$C$73=Vanalar!C165),0),7)+(G165/3),10)),"mm",)</f>
        <v>M16x30mm</v>
      </c>
      <c r="L165"/>
      <c r="N165" s="33"/>
      <c r="O165" s="33"/>
      <c r="P165" s="33"/>
      <c r="Q165" s="33"/>
      <c r="R165" s="33"/>
      <c r="S165" s="33"/>
    </row>
    <row r="166" spans="1:19">
      <c r="A166" s="31" t="s">
        <v>6</v>
      </c>
      <c r="B166" s="31" t="s">
        <v>63</v>
      </c>
      <c r="C166" s="31" t="s">
        <v>30</v>
      </c>
      <c r="D166" s="31">
        <v>3.7</v>
      </c>
      <c r="E166" s="31" t="s">
        <v>38</v>
      </c>
      <c r="F166" s="31">
        <v>4</v>
      </c>
      <c r="G166" s="31">
        <v>46</v>
      </c>
      <c r="H166" s="26" t="str">
        <f t="array" ref="H166">CONCATENATE(E166,"x",(MROUND(INDEX('Paslanmaz Fittings'!$A$2:$G$73,MATCH(1,('Paslanmaz Fittings'!$A$2:$A$73=Vanalar!A166)*('Paslanmaz Fittings'!$C$2:$C$73=Vanalar!C166),0),7)+(G166/3),10)),"mm",)</f>
        <v>M16x40mm</v>
      </c>
      <c r="N166" s="33"/>
      <c r="O166" s="33"/>
      <c r="P166" s="33"/>
      <c r="Q166" s="33"/>
      <c r="R166" s="33"/>
      <c r="S166" s="33"/>
    </row>
    <row r="167" spans="1:19">
      <c r="A167" s="32" t="s">
        <v>7</v>
      </c>
      <c r="B167" s="32" t="s">
        <v>63</v>
      </c>
      <c r="C167" s="32" t="s">
        <v>30</v>
      </c>
      <c r="D167" s="32">
        <v>5.0999999999999996</v>
      </c>
      <c r="E167" s="32" t="s">
        <v>38</v>
      </c>
      <c r="F167" s="32">
        <v>8</v>
      </c>
      <c r="G167" s="32">
        <v>46</v>
      </c>
      <c r="H167" s="26" t="str">
        <f t="array" ref="H167">CONCATENATE(E167,"x",(MROUND(INDEX('Paslanmaz Fittings'!$A$2:$G$73,MATCH(1,('Paslanmaz Fittings'!$A$2:$A$73=Vanalar!A167)*('Paslanmaz Fittings'!$C$2:$C$73=Vanalar!C167),0),7)+(G167/3),10)),"mm",)</f>
        <v>M16x40mm</v>
      </c>
      <c r="N167" s="33"/>
      <c r="O167" s="33"/>
      <c r="P167" s="33"/>
      <c r="Q167" s="33"/>
      <c r="R167" s="33"/>
      <c r="S167" s="33"/>
    </row>
    <row r="168" spans="1:19">
      <c r="A168" s="31" t="s">
        <v>8</v>
      </c>
      <c r="B168" s="31" t="s">
        <v>63</v>
      </c>
      <c r="C168" s="31" t="s">
        <v>30</v>
      </c>
      <c r="D168" s="31">
        <v>7.2</v>
      </c>
      <c r="E168" s="31" t="s">
        <v>38</v>
      </c>
      <c r="F168" s="31">
        <v>8</v>
      </c>
      <c r="G168" s="31">
        <v>52</v>
      </c>
      <c r="H168" s="26" t="str">
        <f t="array" ref="H168">CONCATENATE(E168,"x",(MROUND(INDEX('Paslanmaz Fittings'!$A$2:$G$73,MATCH(1,('Paslanmaz Fittings'!$A$2:$A$73=Vanalar!A168)*('Paslanmaz Fittings'!$C$2:$C$73=Vanalar!C168),0),7)+(G168/3),10)),"mm",)</f>
        <v>M16x40mm</v>
      </c>
    </row>
    <row r="169" spans="1:19">
      <c r="A169" s="32" t="s">
        <v>9</v>
      </c>
      <c r="B169" s="32" t="s">
        <v>63</v>
      </c>
      <c r="C169" s="32" t="s">
        <v>30</v>
      </c>
      <c r="D169" s="32">
        <v>8.8000000000000007</v>
      </c>
      <c r="E169" s="32" t="s">
        <v>38</v>
      </c>
      <c r="F169" s="32">
        <v>8</v>
      </c>
      <c r="G169" s="32">
        <v>56</v>
      </c>
      <c r="H169" s="26" t="str">
        <f t="array" ref="H169">CONCATENATE(E169,"x",(MROUND(INDEX('Paslanmaz Fittings'!$A$2:$G$73,MATCH(1,('Paslanmaz Fittings'!$A$2:$A$73=Vanalar!A169)*('Paslanmaz Fittings'!$C$2:$C$73=Vanalar!C169),0),7)+(G169/3),10)),"mm",)</f>
        <v>M16x40mm</v>
      </c>
    </row>
    <row r="170" spans="1:19">
      <c r="A170" s="31" t="s">
        <v>10</v>
      </c>
      <c r="B170" s="31" t="s">
        <v>63</v>
      </c>
      <c r="C170" s="31" t="s">
        <v>30</v>
      </c>
      <c r="D170" s="31">
        <v>10.6</v>
      </c>
      <c r="E170" s="31" t="s">
        <v>39</v>
      </c>
      <c r="F170" s="31">
        <v>8</v>
      </c>
      <c r="G170" s="31">
        <v>56</v>
      </c>
      <c r="H170" s="26" t="str">
        <f t="array" ref="H170">CONCATENATE(E170,"x",(MROUND(INDEX('Paslanmaz Fittings'!$A$2:$G$73,MATCH(1,('Paslanmaz Fittings'!$A$2:$A$73=Vanalar!A170)*('Paslanmaz Fittings'!$C$2:$C$73=Vanalar!C170),0),7)+(G170/3),10)),"mm",)</f>
        <v>M20x40mm</v>
      </c>
    </row>
    <row r="171" spans="1:19">
      <c r="A171" s="32" t="s">
        <v>11</v>
      </c>
      <c r="B171" s="32" t="s">
        <v>63</v>
      </c>
      <c r="C171" s="32" t="s">
        <v>30</v>
      </c>
      <c r="D171" s="32">
        <v>18</v>
      </c>
      <c r="E171" s="32" t="s">
        <v>39</v>
      </c>
      <c r="F171" s="32">
        <v>12</v>
      </c>
      <c r="G171" s="32">
        <v>60</v>
      </c>
      <c r="H171" s="26" t="str">
        <f t="array" ref="H171">CONCATENATE(E171,"x",(MROUND(INDEX('Paslanmaz Fittings'!$A$2:$G$73,MATCH(1,('Paslanmaz Fittings'!$A$2:$A$73=Vanalar!A171)*('Paslanmaz Fittings'!$C$2:$C$73=Vanalar!C171),0),7)+(G171/3),10)),"mm",)</f>
        <v>M20x50mm</v>
      </c>
    </row>
    <row r="172" spans="1:19">
      <c r="A172" s="31" t="s">
        <v>12</v>
      </c>
      <c r="B172" s="31" t="s">
        <v>63</v>
      </c>
      <c r="C172" s="31" t="s">
        <v>30</v>
      </c>
      <c r="D172" s="31">
        <v>26.5</v>
      </c>
      <c r="E172" s="31" t="s">
        <v>41</v>
      </c>
      <c r="F172" s="31">
        <v>12</v>
      </c>
      <c r="G172" s="31">
        <v>68</v>
      </c>
      <c r="H172" s="26" t="str">
        <f t="array" ref="H172">CONCATENATE(E172,"x",(MROUND(INDEX('Paslanmaz Fittings'!$A$2:$G$73,MATCH(1,('Paslanmaz Fittings'!$A$2:$A$73=Vanalar!A172)*('Paslanmaz Fittings'!$C$2:$C$73=Vanalar!C172),0),7)+(G172/3),10)),"mm",)</f>
        <v>M24x50mm</v>
      </c>
    </row>
    <row r="173" spans="1:19">
      <c r="A173" s="32" t="s">
        <v>13</v>
      </c>
      <c r="B173" s="32" t="s">
        <v>63</v>
      </c>
      <c r="C173" s="32" t="s">
        <v>30</v>
      </c>
      <c r="D173" s="32">
        <v>39.9</v>
      </c>
      <c r="E173" s="32" t="s">
        <v>41</v>
      </c>
      <c r="F173" s="32">
        <v>12</v>
      </c>
      <c r="G173" s="32">
        <v>78</v>
      </c>
      <c r="H173" s="26" t="str">
        <f t="array" ref="H173">CONCATENATE(E173,"x",(MROUND(INDEX('Paslanmaz Fittings'!$A$2:$G$73,MATCH(1,('Paslanmaz Fittings'!$A$2:$A$73=Vanalar!A173)*('Paslanmaz Fittings'!$C$2:$C$73=Vanalar!C173),0),7)+(G173/3),10)),"mm",)</f>
        <v>M24x60mm</v>
      </c>
    </row>
    <row r="174" spans="1:19">
      <c r="A174" s="31" t="s">
        <v>14</v>
      </c>
      <c r="B174" s="31" t="s">
        <v>63</v>
      </c>
      <c r="C174" s="31" t="s">
        <v>30</v>
      </c>
      <c r="D174" s="31">
        <v>72</v>
      </c>
      <c r="E174" s="31" t="s">
        <v>42</v>
      </c>
      <c r="F174" s="31">
        <v>16</v>
      </c>
      <c r="G174" s="31">
        <v>78</v>
      </c>
      <c r="H174" s="26" t="str">
        <f t="array" ref="H174">CONCATENATE(E174,"x",(MROUND(INDEX('Paslanmaz Fittings'!$A$2:$G$73,MATCH(1,('Paslanmaz Fittings'!$A$2:$A$73=Vanalar!A174)*('Paslanmaz Fittings'!$C$2:$C$73=Vanalar!C174),0),7)+(G174/3),10)),"mm",)</f>
        <v>M27x60mm</v>
      </c>
    </row>
    <row r="175" spans="1:19">
      <c r="A175" s="32" t="s">
        <v>15</v>
      </c>
      <c r="B175" s="32" t="s">
        <v>63</v>
      </c>
      <c r="C175" s="32" t="s">
        <v>30</v>
      </c>
      <c r="D175" s="32">
        <v>112</v>
      </c>
      <c r="E175" s="32" t="s">
        <v>42</v>
      </c>
      <c r="F175" s="32">
        <v>16</v>
      </c>
      <c r="G175" s="32">
        <v>102</v>
      </c>
      <c r="H175" s="26" t="str">
        <f t="array" ref="H175">CONCATENATE(E175,"x",(MROUND(INDEX('Paslanmaz Fittings'!$A$2:$G$73,MATCH(1,('Paslanmaz Fittings'!$A$2:$A$73=Vanalar!A175)*('Paslanmaz Fittings'!$C$2:$C$73=Vanalar!C175),0),7)+(G175/3),10)),"mm",)</f>
        <v>M27x70mm</v>
      </c>
    </row>
    <row r="176" spans="1:19">
      <c r="A176" s="31" t="s">
        <v>16</v>
      </c>
      <c r="B176" s="31" t="s">
        <v>63</v>
      </c>
      <c r="C176" s="31" t="s">
        <v>30</v>
      </c>
      <c r="D176" s="31">
        <v>151</v>
      </c>
      <c r="E176" s="31" t="s">
        <v>42</v>
      </c>
      <c r="F176" s="31">
        <v>20</v>
      </c>
      <c r="G176" s="31">
        <v>114</v>
      </c>
      <c r="H176" s="26" t="str">
        <f t="array" ref="H176">CONCATENATE(E176,"x",(MROUND(INDEX('Paslanmaz Fittings'!$A$2:$G$73,MATCH(1,('Paslanmaz Fittings'!$A$2:$A$73=Vanalar!A176)*('Paslanmaz Fittings'!$C$2:$C$73=Vanalar!C176),0),7)+(G176/3),10)),"mm",)</f>
        <v>M27x80mm</v>
      </c>
    </row>
    <row r="177" spans="1:8">
      <c r="A177" s="32" t="s">
        <v>17</v>
      </c>
      <c r="B177" s="32" t="s">
        <v>63</v>
      </c>
      <c r="C177" s="32" t="s">
        <v>30</v>
      </c>
      <c r="D177" s="32">
        <v>202</v>
      </c>
      <c r="E177" s="32" t="s">
        <v>42</v>
      </c>
      <c r="F177" s="32">
        <v>20</v>
      </c>
      <c r="G177" s="32">
        <v>127</v>
      </c>
      <c r="H177" s="26" t="str">
        <f t="array" ref="H177">CONCATENATE(E177,"x",(MROUND(INDEX('Paslanmaz Fittings'!$A$2:$G$73,MATCH(1,('Paslanmaz Fittings'!$A$2:$A$73=Vanalar!A177)*('Paslanmaz Fittings'!$C$2:$C$73=Vanalar!C177),0),7)+(G177/3),10)),"mm",)</f>
        <v>M27x90mm</v>
      </c>
    </row>
    <row r="178" spans="1:8">
      <c r="A178" s="31" t="s">
        <v>18</v>
      </c>
      <c r="B178" s="31" t="s">
        <v>63</v>
      </c>
      <c r="C178" s="31" t="s">
        <v>30</v>
      </c>
      <c r="D178" s="31">
        <v>237</v>
      </c>
      <c r="E178" s="31" t="s">
        <v>42</v>
      </c>
      <c r="F178" s="31">
        <v>20</v>
      </c>
      <c r="G178" s="31">
        <v>154</v>
      </c>
      <c r="H178" s="26" t="str">
        <f t="array" ref="H178">CONCATENATE(E178,"x",(MROUND(INDEX('Paslanmaz Fittings'!$A$2:$G$73,MATCH(1,('Paslanmaz Fittings'!$A$2:$A$73=Vanalar!A178)*('Paslanmaz Fittings'!$C$2:$C$73=Vanalar!C178),0),7)+(G178/3),10)),"mm",)</f>
        <v>M27x100mm</v>
      </c>
    </row>
    <row r="180" spans="1:8" ht="16.95" customHeight="1">
      <c r="A180" s="25" t="s">
        <v>8</v>
      </c>
      <c r="B180" s="25" t="s">
        <v>76</v>
      </c>
      <c r="C180" s="25" t="s">
        <v>29</v>
      </c>
      <c r="D180" s="25">
        <v>20</v>
      </c>
      <c r="E180" s="25" t="s">
        <v>38</v>
      </c>
      <c r="F180" s="25">
        <v>8</v>
      </c>
      <c r="G180" s="25">
        <v>190</v>
      </c>
      <c r="H180" s="25" t="str">
        <f t="array" ref="H180">CONCATENATE(E180,"x",(MROUND(INDEX('Paslanmaz Fittings'!$A$2:$G$73,MATCH(1,('Paslanmaz Fittings'!$A$2:$A$73=Vanalar!A180)*('Paslanmaz Fittings'!$C$2:$C$73=Vanalar!C180),0),7)*(3.14),10)),"mm",)</f>
        <v>M16x80mm</v>
      </c>
    </row>
    <row r="181" spans="1:8" ht="16.95" customHeight="1">
      <c r="A181" s="26" t="s">
        <v>8</v>
      </c>
      <c r="B181" s="26" t="s">
        <v>76</v>
      </c>
      <c r="C181" s="26" t="s">
        <v>30</v>
      </c>
      <c r="D181" s="26">
        <v>20</v>
      </c>
      <c r="E181" s="26" t="s">
        <v>38</v>
      </c>
      <c r="F181" s="26">
        <v>8</v>
      </c>
      <c r="G181" s="26">
        <v>190</v>
      </c>
      <c r="H181" s="26" t="str">
        <f t="array" ref="H181">CONCATENATE(E181,"x",(MROUND(INDEX('Paslanmaz Fittings'!$A$2:$G$73,MATCH(1,('Paslanmaz Fittings'!$A$2:$A$73=Vanalar!A181)*('Paslanmaz Fittings'!$C$2:$C$73=Vanalar!C181),0),7)*(3.14),10)),"mm",)</f>
        <v>M16x70mm</v>
      </c>
    </row>
    <row r="182" spans="1:8" ht="16.95" customHeight="1">
      <c r="A182" s="25" t="s">
        <v>10</v>
      </c>
      <c r="B182" s="25" t="s">
        <v>76</v>
      </c>
      <c r="C182" s="25" t="s">
        <v>29</v>
      </c>
      <c r="D182" s="25">
        <v>31.4</v>
      </c>
      <c r="E182" s="25" t="s">
        <v>39</v>
      </c>
      <c r="F182" s="25">
        <v>8</v>
      </c>
      <c r="G182" s="25">
        <v>210</v>
      </c>
      <c r="H182" s="25" t="str">
        <f t="array" ref="H182">CONCATENATE(E182,"x",(MROUND(INDEX('Paslanmaz Fittings'!$A$2:$G$73,MATCH(1,('Paslanmaz Fittings'!$A$2:$A$73=Vanalar!A182)*('Paslanmaz Fittings'!$C$2:$C$73=Vanalar!C182),0),7)*(3.14),10)),"mm",)</f>
        <v>M20x90mm</v>
      </c>
    </row>
    <row r="183" spans="1:8" ht="16.95" customHeight="1">
      <c r="A183" s="26" t="s">
        <v>10</v>
      </c>
      <c r="B183" s="26" t="s">
        <v>76</v>
      </c>
      <c r="C183" s="26" t="s">
        <v>30</v>
      </c>
      <c r="D183" s="26">
        <v>31.4</v>
      </c>
      <c r="E183" s="26" t="s">
        <v>39</v>
      </c>
      <c r="F183" s="26">
        <v>8</v>
      </c>
      <c r="G183" s="26">
        <v>210</v>
      </c>
      <c r="H183" s="26" t="str">
        <f t="array" ref="H183">CONCATENATE(E183,"x",(MROUND(INDEX('Paslanmaz Fittings'!$A$2:$G$73,MATCH(1,('Paslanmaz Fittings'!$A$2:$A$73=Vanalar!A183)*('Paslanmaz Fittings'!$C$2:$C$73=Vanalar!C183),0),7)*(3.14),10)),"mm",)</f>
        <v>M20x80mm</v>
      </c>
    </row>
    <row r="184" spans="1:8" ht="16.95" customHeight="1">
      <c r="A184" s="25" t="s">
        <v>11</v>
      </c>
      <c r="B184" s="25" t="s">
        <v>76</v>
      </c>
      <c r="C184" s="25" t="s">
        <v>29</v>
      </c>
      <c r="D184" s="25">
        <v>43.8</v>
      </c>
      <c r="E184" s="25" t="s">
        <v>39</v>
      </c>
      <c r="F184" s="25">
        <v>8</v>
      </c>
      <c r="G184" s="25">
        <v>230</v>
      </c>
      <c r="H184" s="25" t="str">
        <f t="array" ref="H184">CONCATENATE(E184,"x",(MROUND(INDEX('Paslanmaz Fittings'!$A$2:$G$73,MATCH(1,('Paslanmaz Fittings'!$A$2:$A$73=Vanalar!A184)*('Paslanmaz Fittings'!$C$2:$C$73=Vanalar!C184),0),7)*(3.14),10)),"mm",)</f>
        <v>M20x100mm</v>
      </c>
    </row>
    <row r="185" spans="1:8" ht="16.95" customHeight="1">
      <c r="A185" s="26" t="s">
        <v>11</v>
      </c>
      <c r="B185" s="26" t="s">
        <v>76</v>
      </c>
      <c r="C185" s="26" t="s">
        <v>30</v>
      </c>
      <c r="D185" s="26">
        <v>43.8</v>
      </c>
      <c r="E185" s="26" t="s">
        <v>39</v>
      </c>
      <c r="F185" s="26">
        <v>12</v>
      </c>
      <c r="G185" s="26">
        <v>230</v>
      </c>
      <c r="H185" s="26" t="str">
        <f t="array" ref="H185">CONCATENATE(E185,"x",(MROUND(INDEX('Paslanmaz Fittings'!$A$2:$G$73,MATCH(1,('Paslanmaz Fittings'!$A$2:$A$73=Vanalar!A185)*('Paslanmaz Fittings'!$C$2:$C$73=Vanalar!C185),0),7)*(3.14),10)),"mm",)</f>
        <v>M20x80mm</v>
      </c>
    </row>
    <row r="186" spans="1:8" ht="16.95" customHeight="1">
      <c r="A186" s="25" t="s">
        <v>12</v>
      </c>
      <c r="B186" s="25" t="s">
        <v>76</v>
      </c>
      <c r="C186" s="25" t="s">
        <v>29</v>
      </c>
      <c r="D186" s="25">
        <v>64.5</v>
      </c>
      <c r="E186" s="25" t="s">
        <v>39</v>
      </c>
      <c r="F186" s="25">
        <v>12</v>
      </c>
      <c r="G186" s="25">
        <v>250</v>
      </c>
      <c r="H186" s="25" t="str">
        <f t="array" ref="H186">CONCATENATE(E186,"x",(MROUND(INDEX('Paslanmaz Fittings'!$A$2:$G$73,MATCH(1,('Paslanmaz Fittings'!$A$2:$A$73=Vanalar!A186)*('Paslanmaz Fittings'!$C$2:$C$73=Vanalar!C186),0),7)*(3.14),10)),"mm",)</f>
        <v>M20x110mm</v>
      </c>
    </row>
    <row r="187" spans="1:8" ht="16.95" customHeight="1">
      <c r="A187" s="26" t="s">
        <v>12</v>
      </c>
      <c r="B187" s="26" t="s">
        <v>76</v>
      </c>
      <c r="C187" s="26" t="s">
        <v>30</v>
      </c>
      <c r="D187" s="26">
        <v>66.099999999999994</v>
      </c>
      <c r="E187" s="26" t="s">
        <v>41</v>
      </c>
      <c r="F187" s="26">
        <v>12</v>
      </c>
      <c r="G187" s="26">
        <v>250</v>
      </c>
      <c r="H187" s="26" t="str">
        <f t="array" ref="H187">CONCATENATE(E187,"x",(MROUND(INDEX('Paslanmaz Fittings'!$A$2:$G$73,MATCH(1,('Paslanmaz Fittings'!$A$2:$A$73=Vanalar!A187)*('Paslanmaz Fittings'!$C$2:$C$73=Vanalar!C187),0),7)*(3.14),10)),"mm",)</f>
        <v>M24x90mm</v>
      </c>
    </row>
    <row r="188" spans="1:8" ht="16.95" customHeight="1">
      <c r="A188" s="25" t="s">
        <v>13</v>
      </c>
      <c r="B188" s="25" t="s">
        <v>76</v>
      </c>
      <c r="C188" s="25" t="s">
        <v>29</v>
      </c>
      <c r="D188" s="25">
        <v>88.5</v>
      </c>
      <c r="E188" s="25" t="s">
        <v>39</v>
      </c>
      <c r="F188" s="25">
        <v>12</v>
      </c>
      <c r="G188" s="25">
        <v>270</v>
      </c>
      <c r="H188" s="25" t="str">
        <f t="array" ref="H188">CONCATENATE(E188,"x",(MROUND(INDEX('Paslanmaz Fittings'!$A$2:$G$73,MATCH(1,('Paslanmaz Fittings'!$A$2:$A$73=Vanalar!A188)*('Paslanmaz Fittings'!$C$2:$C$73=Vanalar!C188),0),7)*(3.14),10)),"mm",)</f>
        <v>M20x120mm</v>
      </c>
    </row>
    <row r="189" spans="1:8" ht="16.95" customHeight="1">
      <c r="A189" s="26" t="s">
        <v>13</v>
      </c>
      <c r="B189" s="26" t="s">
        <v>76</v>
      </c>
      <c r="C189" s="26" t="s">
        <v>30</v>
      </c>
      <c r="D189" s="26">
        <v>88</v>
      </c>
      <c r="E189" s="26" t="s">
        <v>41</v>
      </c>
      <c r="F189" s="26">
        <v>12</v>
      </c>
      <c r="G189" s="26">
        <v>270</v>
      </c>
      <c r="H189" s="26" t="str">
        <f t="array" ref="H189">CONCATENATE(E189,"x",(MROUND(INDEX('Paslanmaz Fittings'!$A$2:$G$73,MATCH(1,('Paslanmaz Fittings'!$A$2:$A$73=Vanalar!A189)*('Paslanmaz Fittings'!$C$2:$C$73=Vanalar!C189),0),7)*(3.14),10)),"mm",)</f>
        <v>M24x100mm</v>
      </c>
    </row>
    <row r="190" spans="1:8" ht="16.95" customHeight="1">
      <c r="A190" s="25" t="s">
        <v>14</v>
      </c>
      <c r="B190" s="25" t="s">
        <v>76</v>
      </c>
      <c r="C190" s="25" t="s">
        <v>29</v>
      </c>
      <c r="D190" s="25">
        <v>124.1</v>
      </c>
      <c r="E190" s="25" t="s">
        <v>39</v>
      </c>
      <c r="F190" s="25">
        <v>16</v>
      </c>
      <c r="G190" s="25">
        <v>290</v>
      </c>
      <c r="H190" s="25" t="str">
        <f t="array" ref="H190">CONCATENATE(E190,"x",(MROUND(INDEX('Paslanmaz Fittings'!$A$2:$G$73,MATCH(1,('Paslanmaz Fittings'!$A$2:$A$73=Vanalar!A190)*('Paslanmaz Fittings'!$C$2:$C$73=Vanalar!C190),0),7)*(3.14),10)),"mm",)</f>
        <v>M20x130mm</v>
      </c>
    </row>
    <row r="191" spans="1:8" ht="16.95" customHeight="1">
      <c r="A191" s="26" t="s">
        <v>14</v>
      </c>
      <c r="B191" s="26" t="s">
        <v>76</v>
      </c>
      <c r="C191" s="26" t="s">
        <v>30</v>
      </c>
      <c r="D191" s="26">
        <v>140</v>
      </c>
      <c r="E191" s="26" t="s">
        <v>41</v>
      </c>
      <c r="F191" s="26">
        <v>16</v>
      </c>
      <c r="G191" s="26">
        <v>290</v>
      </c>
      <c r="H191" s="26" t="str">
        <f t="array" ref="H191">CONCATENATE(E191,"x",(MROUND(INDEX('Paslanmaz Fittings'!$A$2:$G$73,MATCH(1,('Paslanmaz Fittings'!$A$2:$A$73=Vanalar!A191)*('Paslanmaz Fittings'!$C$2:$C$73=Vanalar!C191),0),7)*(3.14),10)),"mm",)</f>
        <v>M24x110mm</v>
      </c>
    </row>
    <row r="192" spans="1:8" ht="16.95" customHeight="1">
      <c r="A192" s="25" t="s">
        <v>15</v>
      </c>
      <c r="B192" s="25" t="s">
        <v>76</v>
      </c>
      <c r="C192" s="25" t="s">
        <v>29</v>
      </c>
      <c r="D192" s="25">
        <v>146</v>
      </c>
      <c r="E192" s="25" t="s">
        <v>42</v>
      </c>
      <c r="F192" s="25">
        <v>16</v>
      </c>
      <c r="G192" s="25">
        <v>310</v>
      </c>
      <c r="H192" s="25" t="str">
        <f t="array" ref="H192">CONCATENATE(E192,"x",(MROUND(INDEX('Paslanmaz Fittings'!$A$2:$G$73,MATCH(1,('Paslanmaz Fittings'!$A$2:$A$73=Vanalar!A192)*('Paslanmaz Fittings'!$C$2:$C$73=Vanalar!C192),0),7)*(3.14),10)),"mm",)</f>
        <v>M27x140mm</v>
      </c>
    </row>
    <row r="193" spans="1:8" ht="16.95" customHeight="1">
      <c r="A193" s="26" t="s">
        <v>15</v>
      </c>
      <c r="B193" s="26" t="s">
        <v>76</v>
      </c>
      <c r="C193" s="26" t="s">
        <v>30</v>
      </c>
      <c r="D193" s="26">
        <v>158</v>
      </c>
      <c r="E193" s="26" t="s">
        <v>42</v>
      </c>
      <c r="F193" s="26">
        <v>16</v>
      </c>
      <c r="G193" s="26">
        <v>310</v>
      </c>
      <c r="H193" s="26" t="str">
        <f t="array" ref="H193">CONCATENATE(E193,"x",(MROUND(INDEX('Paslanmaz Fittings'!$A$2:$G$73,MATCH(1,('Paslanmaz Fittings'!$A$2:$A$73=Vanalar!A193)*('Paslanmaz Fittings'!$C$2:$C$73=Vanalar!C193),0),7)*(3.14),10)),"mm",)</f>
        <v>M27x120mm</v>
      </c>
    </row>
    <row r="194" spans="1:8" ht="16.95" customHeight="1">
      <c r="A194" s="25" t="s">
        <v>16</v>
      </c>
      <c r="B194" s="25" t="s">
        <v>76</v>
      </c>
      <c r="C194" s="25" t="s">
        <v>29</v>
      </c>
      <c r="D194" s="25">
        <v>180</v>
      </c>
      <c r="E194" s="25" t="s">
        <v>42</v>
      </c>
      <c r="F194" s="25">
        <v>20</v>
      </c>
      <c r="G194" s="25">
        <v>330</v>
      </c>
      <c r="H194" s="25" t="str">
        <f t="array" ref="H194">CONCATENATE(E194,"x",(MROUND(INDEX('Paslanmaz Fittings'!$A$2:$G$73,MATCH(1,('Paslanmaz Fittings'!$A$2:$A$73=Vanalar!A194)*('Paslanmaz Fittings'!$C$2:$C$73=Vanalar!C194),0),7)*(3.14),10)),"mm",)</f>
        <v>M27x160mm</v>
      </c>
    </row>
    <row r="195" spans="1:8" ht="16.95" customHeight="1">
      <c r="A195" s="26" t="s">
        <v>16</v>
      </c>
      <c r="B195" s="26" t="s">
        <v>76</v>
      </c>
      <c r="C195" s="26" t="s">
        <v>30</v>
      </c>
      <c r="D195" s="26">
        <v>218</v>
      </c>
      <c r="E195" s="26" t="s">
        <v>42</v>
      </c>
      <c r="F195" s="26">
        <v>20</v>
      </c>
      <c r="G195" s="26">
        <v>330</v>
      </c>
      <c r="H195" s="26" t="str">
        <f t="array" ref="H195">CONCATENATE(E195,"x",(MROUND(INDEX('Paslanmaz Fittings'!$A$2:$G$73,MATCH(1,('Paslanmaz Fittings'!$A$2:$A$73=Vanalar!A195)*('Paslanmaz Fittings'!$C$2:$C$73=Vanalar!C195),0),7)*(3.14),10)),"mm",)</f>
        <v>M27x130mm</v>
      </c>
    </row>
    <row r="196" spans="1:8" ht="16.95" customHeight="1">
      <c r="A196" s="25" t="s">
        <v>17</v>
      </c>
      <c r="B196" s="25" t="s">
        <v>76</v>
      </c>
      <c r="C196" s="25" t="s">
        <v>29</v>
      </c>
      <c r="D196" s="25">
        <v>236</v>
      </c>
      <c r="E196" s="25" t="s">
        <v>42</v>
      </c>
      <c r="F196" s="25">
        <v>20</v>
      </c>
      <c r="G196" s="25">
        <v>350</v>
      </c>
      <c r="H196" s="25" t="str">
        <f t="array" ref="H196">CONCATENATE(E196,"x",(MROUND(INDEX('Paslanmaz Fittings'!$A$2:$G$73,MATCH(1,('Paslanmaz Fittings'!$A$2:$A$73=Vanalar!A196)*('Paslanmaz Fittings'!$C$2:$C$73=Vanalar!C196),0),7)*(3.14),10)),"mm",)</f>
        <v>M27x180mm</v>
      </c>
    </row>
    <row r="197" spans="1:8" ht="16.95" customHeight="1">
      <c r="A197" s="26" t="s">
        <v>17</v>
      </c>
      <c r="B197" s="26" t="s">
        <v>76</v>
      </c>
      <c r="C197" s="26" t="s">
        <v>30</v>
      </c>
      <c r="D197" s="26">
        <v>269</v>
      </c>
      <c r="E197" s="26" t="s">
        <v>43</v>
      </c>
      <c r="F197" s="26">
        <v>20</v>
      </c>
      <c r="G197" s="26">
        <v>350</v>
      </c>
      <c r="H197" s="26" t="str">
        <f t="array" ref="H197">CONCATENATE(E197,"x",(MROUND(INDEX('Paslanmaz Fittings'!$A$2:$G$73,MATCH(1,('Paslanmaz Fittings'!$A$2:$A$73=Vanalar!A197)*('Paslanmaz Fittings'!$C$2:$C$73=Vanalar!C197),0),7)*(3.14),10)),"mm",)</f>
        <v>M30x140mm</v>
      </c>
    </row>
    <row r="198" spans="1:8" ht="16.95" customHeight="1">
      <c r="A198" s="25" t="s">
        <v>18</v>
      </c>
      <c r="B198" s="25" t="s">
        <v>76</v>
      </c>
      <c r="C198" s="25" t="s">
        <v>29</v>
      </c>
      <c r="D198" s="25">
        <v>326</v>
      </c>
      <c r="E198" s="25" t="s">
        <v>43</v>
      </c>
      <c r="F198" s="25">
        <v>20</v>
      </c>
      <c r="G198" s="25">
        <v>390</v>
      </c>
      <c r="H198" s="25" t="str">
        <f t="array" ref="H198">CONCATENATE(E198,"x",(MROUND(INDEX('Paslanmaz Fittings'!$A$2:$G$73,MATCH(1,('Paslanmaz Fittings'!$A$2:$A$73=Vanalar!A198)*('Paslanmaz Fittings'!$C$2:$C$73=Vanalar!C198),0),7)*(3.14),10)),"mm",)</f>
        <v>M30x210mm</v>
      </c>
    </row>
    <row r="199" spans="1:8" ht="16.95" customHeight="1">
      <c r="A199" s="26" t="s">
        <v>18</v>
      </c>
      <c r="B199" s="26" t="s">
        <v>76</v>
      </c>
      <c r="C199" s="26" t="s">
        <v>30</v>
      </c>
      <c r="D199" s="26">
        <v>370</v>
      </c>
      <c r="E199" s="26" t="s">
        <v>44</v>
      </c>
      <c r="F199" s="26">
        <v>20</v>
      </c>
      <c r="G199" s="26">
        <v>390</v>
      </c>
      <c r="H199" s="26" t="str">
        <f t="array" ref="H199">CONCATENATE(E199,"x",(MROUND(INDEX('Paslanmaz Fittings'!$A$2:$G$73,MATCH(1,('Paslanmaz Fittings'!$A$2:$A$73=Vanalar!A199)*('Paslanmaz Fittings'!$C$2:$C$73=Vanalar!C199),0),7)*(3.14),10)),"mm",)</f>
        <v>M33x160mm</v>
      </c>
    </row>
    <row r="200" spans="1:8" ht="16.95" customHeight="1">
      <c r="A200" s="25" t="s">
        <v>19</v>
      </c>
      <c r="B200" s="25" t="s">
        <v>76</v>
      </c>
      <c r="C200" s="25" t="s">
        <v>29</v>
      </c>
      <c r="D200" s="25">
        <v>515</v>
      </c>
      <c r="E200" s="25" t="s">
        <v>43</v>
      </c>
      <c r="F200" s="25">
        <v>24</v>
      </c>
      <c r="G200" s="25">
        <v>430</v>
      </c>
      <c r="H200" s="25" t="str">
        <f t="array" ref="H200">CONCATENATE(E200,"x",(MROUND(INDEX('Paslanmaz Fittings'!$A$2:$G$73,MATCH(1,('Paslanmaz Fittings'!$A$2:$A$73=Vanalar!A200)*('Paslanmaz Fittings'!$C$2:$C$73=Vanalar!C200),0),7)*(3.14),10)),"mm",)</f>
        <v>M30x270mm</v>
      </c>
    </row>
    <row r="201" spans="1:8" ht="16.95" customHeight="1">
      <c r="A201" s="26" t="s">
        <v>19</v>
      </c>
      <c r="B201" s="26" t="s">
        <v>76</v>
      </c>
      <c r="C201" s="26" t="s">
        <v>30</v>
      </c>
      <c r="D201" s="26">
        <v>515</v>
      </c>
      <c r="E201" s="26" t="s">
        <v>44</v>
      </c>
      <c r="F201" s="26">
        <v>24</v>
      </c>
      <c r="G201" s="26">
        <v>430</v>
      </c>
      <c r="H201" s="26" t="str">
        <f t="array" ref="H201">CONCATENATE(E201,"x",(MROUND(INDEX('Paslanmaz Fittings'!$A$2:$G$73,MATCH(1,('Paslanmaz Fittings'!$A$2:$A$73=Vanalar!A201)*('Paslanmaz Fittings'!$C$2:$C$73=Vanalar!C201),0),7)*(3.14),10)),"mm",)</f>
        <v>M33x200mm</v>
      </c>
    </row>
    <row r="202" spans="1:8" ht="16.95" customHeight="1">
      <c r="A202" s="25" t="s">
        <v>20</v>
      </c>
      <c r="B202" s="25" t="s">
        <v>76</v>
      </c>
      <c r="C202" s="25" t="s">
        <v>29</v>
      </c>
      <c r="D202" s="25">
        <v>635</v>
      </c>
      <c r="E202" s="25" t="s">
        <v>44</v>
      </c>
      <c r="F202" s="25">
        <v>24</v>
      </c>
      <c r="G202" s="25">
        <v>470</v>
      </c>
      <c r="H202" s="25" t="str">
        <f t="array" ref="H202">CONCATENATE(E202,"x",(MROUND(INDEX('Paslanmaz Fittings'!$A$2:$G$73,MATCH(1,('Paslanmaz Fittings'!$A$2:$A$73=Vanalar!A202)*('Paslanmaz Fittings'!$C$2:$C$73=Vanalar!C202),0),7)*(3.14),10)),"mm",)</f>
        <v>M33x300mm</v>
      </c>
    </row>
    <row r="203" spans="1:8" ht="16.95" customHeight="1">
      <c r="A203" s="26" t="s">
        <v>20</v>
      </c>
      <c r="B203" s="26" t="s">
        <v>76</v>
      </c>
      <c r="C203" s="26" t="s">
        <v>30</v>
      </c>
      <c r="D203" s="26">
        <v>636</v>
      </c>
      <c r="E203" s="26" t="s">
        <v>45</v>
      </c>
      <c r="F203" s="26">
        <v>24</v>
      </c>
      <c r="G203" s="26">
        <v>470</v>
      </c>
      <c r="H203" s="26" t="str">
        <f t="array" ref="H203">CONCATENATE(E203,"x",(MROUND(INDEX('Paslanmaz Fittings'!$A$2:$G$73,MATCH(1,('Paslanmaz Fittings'!$A$2:$A$73=Vanalar!A203)*('Paslanmaz Fittings'!$C$2:$C$73=Vanalar!C203),0),7)*(3.14),10)),"mm",)</f>
        <v>M36x230mm</v>
      </c>
    </row>
    <row r="204" spans="1:8" ht="16.95" customHeight="1">
      <c r="A204" s="25" t="s">
        <v>21</v>
      </c>
      <c r="B204" s="25" t="s">
        <v>76</v>
      </c>
      <c r="C204" s="25" t="s">
        <v>29</v>
      </c>
      <c r="D204" s="25">
        <v>902</v>
      </c>
      <c r="E204" s="25" t="s">
        <v>44</v>
      </c>
      <c r="F204" s="25">
        <v>28</v>
      </c>
      <c r="G204" s="25">
        <v>510</v>
      </c>
      <c r="H204" s="25" t="str">
        <f t="array" ref="H204">CONCATENATE(E204,"x",(MROUND(INDEX('Paslanmaz Fittings'!$A$2:$G$73,MATCH(1,('Paslanmaz Fittings'!$A$2:$A$73=Vanalar!A204)*('Paslanmaz Fittings'!$C$2:$C$73=Vanalar!C204),0),7)*(3.14),10)),"mm",)</f>
        <v>M33x190mm</v>
      </c>
    </row>
    <row r="205" spans="1:8" ht="16.95" customHeight="1">
      <c r="A205" s="26" t="s">
        <v>21</v>
      </c>
      <c r="B205" s="26" t="s">
        <v>76</v>
      </c>
      <c r="C205" s="26" t="s">
        <v>30</v>
      </c>
      <c r="D205" s="26">
        <v>957</v>
      </c>
      <c r="E205" s="26" t="s">
        <v>45</v>
      </c>
      <c r="F205" s="26">
        <v>28</v>
      </c>
      <c r="G205" s="26">
        <v>510</v>
      </c>
      <c r="H205" s="26" t="str">
        <f t="array" ref="H205">CONCATENATE(E205,"x",(MROUND(INDEX('Paslanmaz Fittings'!$A$2:$G$73,MATCH(1,('Paslanmaz Fittings'!$A$2:$A$73=Vanalar!A205)*('Paslanmaz Fittings'!$C$2:$C$73=Vanalar!C205),0),7)*(3.14),10)),"mm",)</f>
        <v>M36x260mm</v>
      </c>
    </row>
    <row r="206" spans="1:8" ht="16.95" customHeight="1">
      <c r="A206" s="25" t="s">
        <v>22</v>
      </c>
      <c r="B206" s="25" t="s">
        <v>76</v>
      </c>
      <c r="C206" s="25" t="s">
        <v>29</v>
      </c>
      <c r="D206" s="25">
        <v>1200</v>
      </c>
      <c r="E206" s="25" t="s">
        <v>45</v>
      </c>
      <c r="F206" s="25">
        <v>28</v>
      </c>
      <c r="G206" s="25">
        <v>550</v>
      </c>
      <c r="H206" s="25" t="str">
        <f t="array" ref="H206">CONCATENATE(E206,"x",(MROUND(INDEX('Paslanmaz Fittings'!$A$2:$G$73,MATCH(1,('Paslanmaz Fittings'!$A$2:$A$73=Vanalar!A206)*('Paslanmaz Fittings'!$C$2:$C$73=Vanalar!C206),0),7)*(3.14),10)),"mm",)</f>
        <v>M36x230mm</v>
      </c>
    </row>
    <row r="207" spans="1:8" ht="16.95" customHeight="1">
      <c r="A207" s="26" t="s">
        <v>22</v>
      </c>
      <c r="B207" s="26" t="s">
        <v>76</v>
      </c>
      <c r="C207" s="26" t="s">
        <v>30</v>
      </c>
      <c r="D207" s="26">
        <v>1351</v>
      </c>
      <c r="E207" s="26" t="s">
        <v>46</v>
      </c>
      <c r="F207" s="26">
        <v>28</v>
      </c>
      <c r="G207" s="26">
        <v>550</v>
      </c>
      <c r="H207" s="26" t="str">
        <f t="array" ref="H207">CONCATENATE(E207,"x",(MROUND(INDEX('Paslanmaz Fittings'!$A$2:$G$73,MATCH(1,('Paslanmaz Fittings'!$A$2:$A$73=Vanalar!A207)*('Paslanmaz Fittings'!$C$2:$C$73=Vanalar!C207),0),7)*(3.14),10)),"mm",)</f>
        <v>M39x280mm</v>
      </c>
    </row>
  </sheetData>
  <protectedRanges>
    <protectedRange sqref="A2:G9" name="Aralık1"/>
  </protectedRanges>
  <autoFilter ref="C180:C207" xr:uid="{E5ED4365-F646-42D0-9A36-B21DD8160981}"/>
  <sortState xmlns:xlrd2="http://schemas.microsoft.com/office/spreadsheetml/2017/richdata2" ref="L20:L68">
    <sortCondition ref="L20:L68"/>
  </sortState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Hesaplama Aracı</vt:lpstr>
      <vt:lpstr>Paslanmaz Boru</vt:lpstr>
      <vt:lpstr>Paslanmaz Fittings</vt:lpstr>
      <vt:lpstr>Vanalar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HALİT</dc:creator>
  <cp:lastModifiedBy>Silver</cp:lastModifiedBy>
  <dcterms:created xsi:type="dcterms:W3CDTF">2015-06-05T18:17:20Z</dcterms:created>
  <dcterms:modified xsi:type="dcterms:W3CDTF">2026-07-09T09:15:05Z</dcterms:modified>
</cp:coreProperties>
</file>